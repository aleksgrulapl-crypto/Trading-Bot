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Python BOT\"/>
    </mc:Choice>
  </mc:AlternateContent>
  <xr:revisionPtr revIDLastSave="0" documentId="13_ncr:1_{0D13DD85-6D4B-479E-9AB9-FB04E3FE050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ver" sheetId="4" r:id="rId1"/>
    <sheet name="Trading Conditions" sheetId="1" r:id="rId2"/>
    <sheet name="Trade Log" sheetId="2" r:id="rId3"/>
    <sheet name="Analysis Dashboar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2" l="1"/>
  <c r="U5" i="2" s="1"/>
  <c r="T6" i="2"/>
  <c r="U6" i="2" s="1"/>
  <c r="V6" i="2" s="1"/>
  <c r="T7" i="2"/>
  <c r="T8" i="2"/>
  <c r="V8" i="2" s="1"/>
  <c r="U8" i="2"/>
  <c r="T9" i="2"/>
  <c r="U9" i="2" s="1"/>
  <c r="T10" i="2"/>
  <c r="U16" i="2" s="1"/>
  <c r="T11" i="2"/>
  <c r="U11" i="2" s="1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U63" i="2" s="1"/>
  <c r="V63" i="2" s="1"/>
  <c r="B9" i="3"/>
  <c r="I10" i="1"/>
  <c r="I9" i="1"/>
  <c r="G5" i="1"/>
  <c r="I8" i="1"/>
  <c r="V52" i="2" l="1"/>
  <c r="V28" i="2"/>
  <c r="V16" i="2"/>
  <c r="U28" i="2"/>
  <c r="U59" i="2"/>
  <c r="V59" i="2" s="1"/>
  <c r="U35" i="2"/>
  <c r="U36" i="2"/>
  <c r="V36" i="2" s="1"/>
  <c r="U51" i="2"/>
  <c r="V51" i="2" s="1"/>
  <c r="U57" i="2"/>
  <c r="V57" i="2" s="1"/>
  <c r="U17" i="2"/>
  <c r="V17" i="2" s="1"/>
  <c r="U44" i="2"/>
  <c r="V44" i="2" s="1"/>
  <c r="U32" i="2"/>
  <c r="V32" i="2" s="1"/>
  <c r="U43" i="2"/>
  <c r="V43" i="2" s="1"/>
  <c r="U49" i="2"/>
  <c r="V49" i="2" s="1"/>
  <c r="U48" i="2"/>
  <c r="V48" i="2" s="1"/>
  <c r="U39" i="2"/>
  <c r="U31" i="2"/>
  <c r="U23" i="2"/>
  <c r="U15" i="2"/>
  <c r="U34" i="2"/>
  <c r="V34" i="2" s="1"/>
  <c r="U52" i="2"/>
  <c r="U19" i="2"/>
  <c r="U41" i="2"/>
  <c r="U40" i="2"/>
  <c r="V40" i="2" s="1"/>
  <c r="U62" i="2"/>
  <c r="V62" i="2" s="1"/>
  <c r="U20" i="2"/>
  <c r="V20" i="2" s="1"/>
  <c r="U58" i="2"/>
  <c r="V58" i="2" s="1"/>
  <c r="U33" i="2"/>
  <c r="U24" i="2"/>
  <c r="V24" i="2" s="1"/>
  <c r="U47" i="2"/>
  <c r="U53" i="2"/>
  <c r="U37" i="2"/>
  <c r="U29" i="2"/>
  <c r="U21" i="2"/>
  <c r="V21" i="2" s="1"/>
  <c r="U13" i="2"/>
  <c r="V13" i="2" s="1"/>
  <c r="U12" i="2"/>
  <c r="V12" i="2" s="1"/>
  <c r="U27" i="2"/>
  <c r="V27" i="2" s="1"/>
  <c r="U25" i="2"/>
  <c r="V25" i="2" s="1"/>
  <c r="U56" i="2"/>
  <c r="V56" i="2" s="1"/>
  <c r="U55" i="2"/>
  <c r="U45" i="2"/>
  <c r="U60" i="2"/>
  <c r="V55" i="2"/>
  <c r="V47" i="2"/>
  <c r="V35" i="2"/>
  <c r="V31" i="2"/>
  <c r="V23" i="2"/>
  <c r="V19" i="2"/>
  <c r="V15" i="2"/>
  <c r="V11" i="2"/>
  <c r="V39" i="2"/>
  <c r="U7" i="2"/>
  <c r="V7" i="2" s="1"/>
  <c r="U38" i="2"/>
  <c r="V38" i="2" s="1"/>
  <c r="U22" i="2"/>
  <c r="V22" i="2" s="1"/>
  <c r="U46" i="2"/>
  <c r="V46" i="2" s="1"/>
  <c r="U10" i="2"/>
  <c r="V10" i="2" s="1"/>
  <c r="U54" i="2"/>
  <c r="V54" i="2" s="1"/>
  <c r="U42" i="2"/>
  <c r="V42" i="2" s="1"/>
  <c r="U26" i="2"/>
  <c r="V26" i="2" s="1"/>
  <c r="U14" i="2"/>
  <c r="V14" i="2" s="1"/>
  <c r="V60" i="2"/>
  <c r="V53" i="2"/>
  <c r="V45" i="2"/>
  <c r="V41" i="2"/>
  <c r="V37" i="2"/>
  <c r="V33" i="2"/>
  <c r="V29" i="2"/>
  <c r="V9" i="2"/>
  <c r="V5" i="2"/>
  <c r="U61" i="2"/>
  <c r="V61" i="2" s="1"/>
  <c r="U50" i="2"/>
  <c r="V50" i="2" s="1"/>
  <c r="U30" i="2"/>
  <c r="V30" i="2" s="1"/>
  <c r="U18" i="2"/>
  <c r="V18" i="2" s="1"/>
  <c r="B11" i="3"/>
  <c r="B7" i="3"/>
  <c r="B5" i="3"/>
  <c r="B6" i="3"/>
  <c r="B8" i="3" l="1"/>
  <c r="D9" i="3" s="1"/>
  <c r="B10" i="3" l="1"/>
  <c r="D5" i="3" s="1"/>
</calcChain>
</file>

<file path=xl/sharedStrings.xml><?xml version="1.0" encoding="utf-8"?>
<sst xmlns="http://schemas.openxmlformats.org/spreadsheetml/2006/main" count="589" uniqueCount="210">
  <si>
    <t>Section</t>
  </si>
  <si>
    <t>Condition</t>
  </si>
  <si>
    <t>Notes</t>
  </si>
  <si>
    <t>Trend</t>
  </si>
  <si>
    <t>Trend clean (no chop)</t>
  </si>
  <si>
    <t>Supertrend</t>
  </si>
  <si>
    <t>Supertrend flipped BUY</t>
  </si>
  <si>
    <t>Supertrend flipped SELL</t>
  </si>
  <si>
    <t>Higher timeframe agrees</t>
  </si>
  <si>
    <t>Volatility (ATR)</t>
  </si>
  <si>
    <t>ATR above threshold</t>
  </si>
  <si>
    <t>No abnormal spikes</t>
  </si>
  <si>
    <t>Candle size normal</t>
  </si>
  <si>
    <t>Momentum (RSI)</t>
  </si>
  <si>
    <t>RSI not overbought (long)</t>
  </si>
  <si>
    <t>RSI not oversold (short)</t>
  </si>
  <si>
    <t>RSI confirms direction</t>
  </si>
  <si>
    <t>Risk Management</t>
  </si>
  <si>
    <t>Position size correct</t>
  </si>
  <si>
    <t>Cooldown passed</t>
  </si>
  <si>
    <t>Market Conditions</t>
  </si>
  <si>
    <t>No major news incoming</t>
  </si>
  <si>
    <t>Spread normal</t>
  </si>
  <si>
    <t>Liquidity normal</t>
  </si>
  <si>
    <t>Final Confirmation</t>
  </si>
  <si>
    <t>Entry matches strategy</t>
  </si>
  <si>
    <t>Exit plan defined</t>
  </si>
  <si>
    <t>Ticker</t>
  </si>
  <si>
    <t>Direction</t>
  </si>
  <si>
    <t>Entry Price</t>
  </si>
  <si>
    <t>Exit Price</t>
  </si>
  <si>
    <t>SL</t>
  </si>
  <si>
    <t>TP</t>
  </si>
  <si>
    <t>Position Size</t>
  </si>
  <si>
    <t>Reason for Entry</t>
  </si>
  <si>
    <t>Checklist Passed?</t>
  </si>
  <si>
    <t>Outcome (P/L)</t>
  </si>
  <si>
    <t>MU</t>
  </si>
  <si>
    <t>BUY</t>
  </si>
  <si>
    <t>SELL</t>
  </si>
  <si>
    <t>Metric</t>
  </si>
  <si>
    <t>Win Rate</t>
  </si>
  <si>
    <t>Checklist Compliance</t>
  </si>
  <si>
    <t>Max Drawdown</t>
  </si>
  <si>
    <t>TRADING JOURNAL</t>
  </si>
  <si>
    <t>A structured workflow for disciplined entries, risk control, and performance review</t>
  </si>
  <si>
    <t>CONTENTS</t>
  </si>
  <si>
    <t>PURPOSE</t>
  </si>
  <si>
    <t>Trading Conditions</t>
  </si>
  <si>
    <t>Trade Log</t>
  </si>
  <si>
    <t>Analysis Dashboard</t>
  </si>
  <si>
    <t>Live performance and discipline metrics based on completed entries in the Trade Log.</t>
  </si>
  <si>
    <t>PRE-TRADE CONDITIONS</t>
  </si>
  <si>
    <t>Suggested defaults are educational starting points — use confluence and backtest by market and timeframe</t>
  </si>
  <si>
    <t>Status</t>
  </si>
  <si>
    <t>Guideline / figure</t>
  </si>
  <si>
    <t>Your notes</t>
  </si>
  <si>
    <t>Price above EMA-200 (long bias)</t>
  </si>
  <si>
    <t>Close &gt; EMA-200; prefer EMA slope rising</t>
  </si>
  <si>
    <t>Price below EMA-200 (short bias)</t>
  </si>
  <si>
    <t>Close &lt; EMA-200; prefer EMA slope falling</t>
  </si>
  <si>
    <t>Avoid repeated EMA crosses in the last 10 bars</t>
  </si>
  <si>
    <t>Common start: ATR length 10, factor 3; price closes above line</t>
  </si>
  <si>
    <t>Common start: ATR length 10, factor 3; price closes below line</t>
  </si>
  <si>
    <t>Confirm on next higher timeframe (e.g., 15m → 1h)</t>
  </si>
  <si>
    <t>Use ATR(14); compare with its 20-bar median for the instrument</t>
  </si>
  <si>
    <t>Avoid an entry candle whose range is &gt; 2.0 × ATR(14)</t>
  </si>
  <si>
    <t>Preferred entry candle range ≤ 1.5 × ATR(14)</t>
  </si>
  <si>
    <t>For longs: RSI(14) &lt; 70; oversold zone ≤ 30 can flag a reversal setup</t>
  </si>
  <si>
    <t>For shorts: RSI(14) &gt; 30; overbought zone ≥ 70 can flag a reversal setup</t>
  </si>
  <si>
    <t>Momentum filter: long &gt; 50 and rising; short &lt; 50 and falling</t>
  </si>
  <si>
    <t>Stop-loss identified</t>
  </si>
  <si>
    <t>Place beyond invalidation; volatility start point: 1.0–2.0 × ATR</t>
  </si>
  <si>
    <t>Take-profit identified</t>
  </si>
  <si>
    <t>Target at least 1.5R; 2.0R preferred when structure allows</t>
  </si>
  <si>
    <t>Suggested risk cap: 0.5%–1.0% of account equity per trade</t>
  </si>
  <si>
    <t>Suggested: wait 15 minutes after a loss; longer after 2 losses</t>
  </si>
  <si>
    <t>Avoid new entries 30–60 minutes around high-impact events</t>
  </si>
  <si>
    <t>Prefer spread ≤ 10% of stop distance</t>
  </si>
  <si>
    <t>Avoid thin volume; compare with the same time-of-day average</t>
  </si>
  <si>
    <t>All mandatory strategy rules are true before entry</t>
  </si>
  <si>
    <t>Emotion-free decision</t>
  </si>
  <si>
    <t>No revenge/FOMO entry; accept the predefined loss before entry</t>
  </si>
  <si>
    <t>Record stop, target, and trailing/partial-exit rule before entry</t>
  </si>
  <si>
    <t>REFERENCE NOTES</t>
  </si>
  <si>
    <t>TRADE LOG</t>
  </si>
  <si>
    <t>Cumulative P/L</t>
  </si>
  <si>
    <t>Running Peak</t>
  </si>
  <si>
    <t>Drawdown</t>
  </si>
  <si>
    <t>ANALYSIS DASHBOARD</t>
  </si>
  <si>
    <t>Live metrics update from completed Trade Log rows; blanks are excluded from performance calculations</t>
  </si>
  <si>
    <t>Current value</t>
  </si>
  <si>
    <t>What it tells you</t>
  </si>
  <si>
    <t>Average Win</t>
  </si>
  <si>
    <t>Average Loss</t>
  </si>
  <si>
    <t>Expectancy / Trade</t>
  </si>
  <si>
    <t>Winning completed trades ÷ all completed trades</t>
  </si>
  <si>
    <t>Mean P/L of profitable trades</t>
  </si>
  <si>
    <t>Mean P/L of losing trades</t>
  </si>
  <si>
    <t>Estimated average P/L per completed trade</t>
  </si>
  <si>
    <t>Logged trades marked Yes ÷ all answered checklist fields</t>
  </si>
  <si>
    <t>Largest peak-to-trough decline in cumulative P/L</t>
  </si>
  <si>
    <t>STORY IN BRIEF</t>
  </si>
  <si>
    <t>QUICK INTERPRETATION</t>
  </si>
  <si>
    <t>Trading Platform</t>
  </si>
  <si>
    <t>Capital</t>
  </si>
  <si>
    <t>No</t>
  </si>
  <si>
    <t>GOLD</t>
  </si>
  <si>
    <t>Yes</t>
  </si>
  <si>
    <t>ENTRY DECISION</t>
  </si>
  <si>
    <t>Shared checks</t>
  </si>
  <si>
    <t>Bullish checks</t>
  </si>
  <si>
    <t>Bearish checks</t>
  </si>
  <si>
    <t>required: ≥12/16</t>
  </si>
  <si>
    <t>Key Levels</t>
  </si>
  <si>
    <t>Price breaks previous-day high</t>
  </si>
  <si>
    <t>Bullish: candle closes above the previous session high; stronger if a retest holds</t>
  </si>
  <si>
    <t>Price breaks previous-day low</t>
  </si>
  <si>
    <t>Bearish: candle closes below the previous session low; stronger if a retest fails</t>
  </si>
  <si>
    <t>Pivot Points</t>
  </si>
  <si>
    <t>Price above standard pivot</t>
  </si>
  <si>
    <t>Bullish: price holds above P = (previous High + Low + Close) / 3</t>
  </si>
  <si>
    <t>Price below standard pivot</t>
  </si>
  <si>
    <t>Bearish: price holds below P = (previous High + Low + Close) / 3</t>
  </si>
  <si>
    <t>RSI ≥ 70 means overbought and RSI ≤ 30 means oversold; neither is an automatic short or long entry. Previous-day levels and pivots are confirmation levels, not standalone signals.</t>
  </si>
  <si>
    <t>Standard pivot: P = (previous High + previous Low + previous Close) / 3. References: Fidelity — RSI and ATR; TradingView — Supertrend.</t>
  </si>
  <si>
    <t>required: ≥3/5</t>
  </si>
  <si>
    <t>Signal requires at least 12 of 16 shared checks and at least 3 of 5 matching directional checks. If both directions qualify, the result stays No Entry.</t>
  </si>
  <si>
    <t>Fees / Adjustments</t>
  </si>
  <si>
    <t>USD</t>
  </si>
  <si>
    <t>Currency</t>
  </si>
  <si>
    <t>00000355-0001-54c4-0000-000080d92520</t>
  </si>
  <si>
    <t>USER</t>
  </si>
  <si>
    <t>CLOSED</t>
  </si>
  <si>
    <t>00000355-0001-54c4-0000-000080d9241a</t>
  </si>
  <si>
    <t>00353194-0001-54c4-0000-000080fa061d</t>
  </si>
  <si>
    <t>MSFT</t>
  </si>
  <si>
    <t>00353194-0001-54c4-0000-000080fa0640</t>
  </si>
  <si>
    <t>00353194-0001-54c4-0000-000080fa0642</t>
  </si>
  <si>
    <t>00353194-0001-54c4-0000-000080fa063b</t>
  </si>
  <si>
    <t>00353194-0001-54c4-0000-000080fa0637</t>
  </si>
  <si>
    <t>00353194-0001-54c4-0000-000080fa0635</t>
  </si>
  <si>
    <t>00353194-0001-54c4-0000-000080fa0587</t>
  </si>
  <si>
    <t>00353194-0001-54c4-0000-000080fa05d0</t>
  </si>
  <si>
    <t>00396101-0001-54c4-0000-0000813f0dd4</t>
  </si>
  <si>
    <t>NVDA</t>
  </si>
  <si>
    <t>00000355-0001-54c4-0000-000080d91b4f</t>
  </si>
  <si>
    <t>00396101-0001-54c4-0000-0000813f0dc3</t>
  </si>
  <si>
    <t>00000355-0001-54c4-0000-000080d91afa</t>
  </si>
  <si>
    <t>0040c512-0001-54c4-0000-000081160a5a</t>
  </si>
  <si>
    <t>PLTR</t>
  </si>
  <si>
    <t>00353194-0001-54c4-0000-000080fa055f</t>
  </si>
  <si>
    <t>00000355-0001-54c4-0000-000080d91a8f</t>
  </si>
  <si>
    <t>0040c512-0001-54c4-0000-000081160a3b</t>
  </si>
  <si>
    <t>00601567-0001-54c4-0000-000091a3f955</t>
  </si>
  <si>
    <t>00601567-0001-54c4-0000-000091a3ed28</t>
  </si>
  <si>
    <t>00601567-0001-54c4-0000-000091a2d8b6</t>
  </si>
  <si>
    <t>00353194-0001-54c4-0000-000080fa0353</t>
  </si>
  <si>
    <t>00000355-0001-54c4-0000-000080d912d5</t>
  </si>
  <si>
    <t>00396101-0001-54c4-0000-0000813f0a60</t>
  </si>
  <si>
    <t>00396101-0001-54c4-0000-0000813f0a51</t>
  </si>
  <si>
    <t>00396101-0001-54c4-0000-0000813f09c7</t>
  </si>
  <si>
    <t>00353194-0001-54c4-0000-000080fa0358</t>
  </si>
  <si>
    <t>0040c512-0001-54c4-0000-00008116046d</t>
  </si>
  <si>
    <t>0040c512-0001-54c4-0000-00008116067a</t>
  </si>
  <si>
    <t>00000355-0001-54c4-0000-000080d90e18</t>
  </si>
  <si>
    <t>00000355-0001-54c4-0000-000080d90e25</t>
  </si>
  <si>
    <t>00396101-0001-54c4-0000-0000813f0914</t>
  </si>
  <si>
    <t>00353194-0001-54c4-0000-000080fa0344</t>
  </si>
  <si>
    <t>00396101-0001-54c4-0000-0000813f0878</t>
  </si>
  <si>
    <t>00396101-0001-54c4-0000-0000813f086b</t>
  </si>
  <si>
    <t>00396101-0001-54c4-0000-0000813f077d</t>
  </si>
  <si>
    <t>Trade ID</t>
  </si>
  <si>
    <t>Open Timestamp (UTC)</t>
  </si>
  <si>
    <t>Close Timestamp (UTC)</t>
  </si>
  <si>
    <t>Close Source</t>
  </si>
  <si>
    <t>Pre-trade checklist with practical indicator, risk, and market-condition starting points.</t>
  </si>
  <si>
    <t>Paired closed Capital trades with journal fields, live P/L, cumulative performance, and drawdown.</t>
  </si>
  <si>
    <t>FX Rates</t>
  </si>
  <si>
    <t>Maintain fixed Capital and Trading 212 base rates and platform fees.</t>
  </si>
  <si>
    <t>Capital Export</t>
  </si>
  <si>
    <t>Raw Capital execution export retained as the import source and audit trail.</t>
  </si>
  <si>
    <t>WORKFLOW: 1) Import executions  •  2) Classify Manual/Autotrader  •  3) Complete checklist and notes  •  4) Review dashboard</t>
  </si>
  <si>
    <t>Educational template only — verify imported executions and risk settings against platform statements.</t>
  </si>
  <si>
    <t>Profit / Loss</t>
  </si>
  <si>
    <t>Sum of all converted outcomes in the Trade Log</t>
  </si>
  <si>
    <t>00000355-0001-54c4-0000-000080d92c12</t>
  </si>
  <si>
    <t>00601567-0001-54c4-0000-000091ab16d6</t>
  </si>
  <si>
    <t>00601567-0001-54c4-0000-000091aaef2e</t>
  </si>
  <si>
    <t>00000355-0001-54c4-0000-000080d92ba1</t>
  </si>
  <si>
    <t>00601567-0001-54c4-0000-000091aae5a7</t>
  </si>
  <si>
    <t>00000355-0001-54c4-0000-000080d92565</t>
  </si>
  <si>
    <t>00000355-0001-54c4-0000-000080d92925</t>
  </si>
  <si>
    <t>00000355-0001-54c4-0000-000080d92684</t>
  </si>
  <si>
    <t>00000355-0001-54c4-0000-000080d927b5</t>
  </si>
  <si>
    <t>00000355-0001-54c4-0000-000080d9256a</t>
  </si>
  <si>
    <t>00000355-0001-54c4-0000-000080d9259a</t>
  </si>
  <si>
    <t>00000355-0001-54c4-0000-000080d9256c</t>
  </si>
  <si>
    <t>00601567-0001-54c4-0000-000091a7cfbb</t>
  </si>
  <si>
    <t>Capital closed trades cross-referenced across all available reports; duplicate executions are removed and Outcome P/L uses the CLOSED execution’s Rpl Converted value.</t>
  </si>
  <si>
    <t>00353194-0001-54c4-0000-000080fa0902</t>
  </si>
  <si>
    <t>00353194-0001-54c4-0000-000080fa08fb</t>
  </si>
  <si>
    <t>00353194-0001-54c4-0000-000080fa08f6</t>
  </si>
  <si>
    <t>00353194-0001-54c4-0000-000080fa08d3</t>
  </si>
  <si>
    <t>00000355-0001-54c4-0000-000080d93423</t>
  </si>
  <si>
    <t>00396101-0001-54c4-0000-0000813f15ac</t>
  </si>
  <si>
    <t>00000355-0001-54c4-0000-000080d90078</t>
  </si>
  <si>
    <t>00396101-0001-54c4-0000-0000813f04a1</t>
  </si>
  <si>
    <t>00396101-0001-54c4-0000-0000813f04e5</t>
  </si>
  <si>
    <t>00396101-0001-54c4-0000-0000813f04cd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</si>
</sst>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\£#,##0.00;[Red]\-\£#,##0.00;\£0.00"/>
    <numFmt numFmtId="166" formatCode="0.0%"/>
    <numFmt numFmtId="167" formatCode="0&quot; / 16&quot;"/>
    <numFmt numFmtId="168" formatCode="0&quot; / 5&quot;"/>
    <numFmt numFmtId="169" formatCode="0.000000"/>
    <numFmt numFmtId="170" formatCode="\£#,##0.00;[Red]\-\£#,##0.00"/>
    <numFmt numFmtId="171" formatCode="dd/mm/yyyy\ hh:mm:ss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66737D"/>
      <name val="Calibri"/>
      <family val="2"/>
      <scheme val="minor"/>
    </font>
    <font>
      <i/>
      <sz val="11"/>
      <color rgb="FF66737D"/>
      <name val="Calibri"/>
      <family val="2"/>
      <scheme val="minor"/>
    </font>
    <font>
      <i/>
      <sz val="10"/>
      <color rgb="FF66737D"/>
      <name val="Calibri"/>
      <family val="2"/>
      <scheme val="minor"/>
    </font>
    <font>
      <b/>
      <sz val="11"/>
      <color rgb="FF17324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17324D"/>
      <name val="Calibri"/>
      <family val="2"/>
      <scheme val="minor"/>
    </font>
    <font>
      <i/>
      <sz val="10"/>
      <color rgb="FF666666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4472C4"/>
      <name val="Calibri"/>
      <family val="2"/>
      <scheme val="minor"/>
    </font>
    <font>
      <sz val="11"/>
      <color rgb="FF444444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0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5"/>
        <bgColor indexed="64"/>
      </patternFill>
    </fill>
    <fill>
      <patternFill patternType="solid">
        <fgColor rgb="FF1F7A8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A"/>
        <bgColor indexed="64"/>
      </patternFill>
    </fill>
  </fills>
  <borders count="6">
    <border>
      <left/>
      <right/>
      <top/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4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22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66" fontId="8" fillId="3" borderId="0" xfId="0" applyNumberFormat="1" applyFont="1" applyFill="1" applyAlignment="1">
      <alignment vertical="center"/>
    </xf>
    <xf numFmtId="165" fontId="8" fillId="3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/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5" fontId="0" fillId="0" borderId="0" xfId="0" applyNumberFormat="1" applyAlignment="1">
      <alignment vertical="center" wrapText="1"/>
    </xf>
    <xf numFmtId="169" fontId="0" fillId="0" borderId="0" xfId="0" applyNumberFormat="1" applyAlignment="1">
      <alignment vertical="center" wrapText="1"/>
    </xf>
    <xf numFmtId="170" fontId="0" fillId="0" borderId="0" xfId="0" applyNumberFormat="1" applyAlignment="1">
      <alignment vertical="center"/>
    </xf>
    <xf numFmtId="0" fontId="2" fillId="6" borderId="0" xfId="0" applyFont="1" applyFill="1"/>
    <xf numFmtId="0" fontId="3" fillId="5" borderId="0" xfId="0" applyFont="1" applyFill="1" applyAlignment="1">
      <alignment vertical="center"/>
    </xf>
    <xf numFmtId="0" fontId="10" fillId="3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 wrapText="1"/>
    </xf>
    <xf numFmtId="165" fontId="0" fillId="0" borderId="0" xfId="0" applyNumberForma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wrapText="1"/>
    </xf>
    <xf numFmtId="170" fontId="0" fillId="0" borderId="0" xfId="0" applyNumberFormat="1" applyAlignment="1">
      <alignment vertical="center" wrapText="1"/>
    </xf>
    <xf numFmtId="0" fontId="3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1" fillId="7" borderId="0" xfId="0" applyFont="1" applyFill="1"/>
    <xf numFmtId="0" fontId="1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4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2" fillId="4" borderId="0" xfId="0" applyFont="1" applyFill="1"/>
    <xf numFmtId="0" fontId="0" fillId="0" borderId="0" xfId="0" applyAlignment="1">
      <alignment wrapText="1"/>
    </xf>
    <xf numFmtId="0" fontId="10" fillId="3" borderId="0" xfId="0" applyFont="1" applyFill="1" applyAlignment="1">
      <alignment vertical="center" wrapText="1"/>
    </xf>
    <xf numFmtId="0" fontId="3" fillId="5" borderId="0" xfId="0" applyFont="1" applyFill="1" applyAlignment="1">
      <alignment vertical="center"/>
    </xf>
    <xf numFmtId="0" fontId="15" fillId="8" borderId="1" xfId="0" applyFont="1" applyFill="1" applyBorder="1" applyAlignment="1">
      <alignment horizontal="left" vertical="top" wrapText="1"/>
    </xf>
    <xf numFmtId="0" fontId="15" fillId="8" borderId="0" xfId="0" applyFont="1" applyFill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15" fillId="8" borderId="3" xfId="0" applyFont="1" applyFill="1" applyBorder="1" applyAlignment="1">
      <alignment horizontal="left" vertical="top" wrapText="1"/>
    </xf>
    <xf numFmtId="0" fontId="15" fillId="8" borderId="4" xfId="0" applyFont="1" applyFill="1" applyBorder="1" applyAlignment="1">
      <alignment horizontal="left" vertical="top" wrapText="1"/>
    </xf>
    <xf numFmtId="0" fontId="15" fillId="8" borderId="5" xfId="0" applyFont="1" applyFill="1" applyBorder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</cellXfs>
  <cellStyles count="1">
    <cellStyle name="Normal" xfId="0" builtinId="0"/>
  </cellStyles>
  <dxfs count="39"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</dxf>
    <dxf>
      <font>
        <color rgb="FF27632A"/>
      </font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27632A"/>
      </font>
      <fill>
        <patternFill patternType="solid">
          <fgColor indexed="64"/>
          <bgColor rgb="FFD9EAD3"/>
        </patternFill>
      </fill>
    </dxf>
    <dxf>
      <font>
        <color rgb="FF27632A"/>
      </font>
      <fill>
        <patternFill patternType="solid">
          <fgColor indexed="64"/>
          <bgColor rgb="FFD9EAD3"/>
        </patternFill>
      </fill>
    </dxf>
    <dxf>
      <numFmt numFmtId="170" formatCode="\£#,##0.00;[Red]\-\£#,##0.00"/>
      <alignment horizontal="general" vertical="center" textRotation="0" wrapText="1" indent="0" justifyLastLine="0" shrinkToFit="0" readingOrder="0"/>
    </dxf>
    <dxf>
      <numFmt numFmtId="169" formatCode="0.000000"/>
      <alignment horizontal="general" vertical="center" textRotation="0" wrapText="1" indent="0" justifyLastLine="0" shrinkToFit="0" readingOrder="0"/>
    </dxf>
    <dxf>
      <numFmt numFmtId="165" formatCode="\£#,##0.00;[Red]\-\£#,##0.00;\£0.00"/>
      <alignment horizontal="right" vertical="center" textRotation="0" wrapText="0" indent="0" justifyLastLine="0" shrinkToFit="0" readingOrder="0"/>
    </dxf>
    <dxf>
      <numFmt numFmtId="165" formatCode="\£#,##0.00;[Red]\-\£#,##0.00;\£0.00"/>
      <alignment horizontal="right" vertical="center" textRotation="0" wrapText="0" indent="0" justifyLastLine="0" shrinkToFit="0" readingOrder="0"/>
    </dxf>
    <dxf>
      <numFmt numFmtId="165" formatCode="\£#,##0.00;[Red]\-\£#,##0.00;\£0.00"/>
      <alignment horizontal="right" vertical="center" textRotation="0" wrapText="0" indent="0" justifyLastLine="0" shrinkToFit="0" readingOrder="0"/>
    </dxf>
    <dxf>
      <numFmt numFmtId="165" formatCode="\£#,##0.00;[Red]\-\£#,##0.00;\£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171" formatCode="dd/mm/yyyy\ hh:mm:ss"/>
      <alignment horizontal="general" vertical="center" textRotation="0" wrapText="0" indent="0" justifyLastLine="0" shrinkToFit="0" readingOrder="0"/>
    </dxf>
    <dxf>
      <numFmt numFmtId="171" formatCode="dd/mm/yyyy\ hh:mm:ss"/>
      <alignment horizontal="general" vertical="center" textRotation="0" wrapText="0" indent="0" justifyLastLine="0" shrinkToFit="0" readingOrder="0"/>
    </dxf>
    <dxf>
      <numFmt numFmtId="165" formatCode="\£#,##0.00;[Red]\-\£#,##0.00;\£0.00"/>
      <alignment horizontal="right" vertical="center" textRotation="0" wrapText="0" indent="0" justifyLastLine="0" shrinkToFit="0" readingOrder="0"/>
    </dxf>
    <dxf>
      <numFmt numFmtId="170" formatCode="\£#,##0.00;[Red]\-\£#,##0.00"/>
      <alignment horizontal="general" vertical="center" textRotation="0" wrapText="0" indent="0" justifyLastLine="0" shrinkToFit="0" readingOrder="0"/>
    </dxf>
    <dxf>
      <numFmt numFmtId="170" formatCode="\£#,##0.00;[Red]\-\£#,##0.00"/>
      <alignment horizontal="general" vertical="center" textRotation="0" wrapText="0" indent="0" justifyLastLine="0" shrinkToFit="0" readingOrder="0"/>
    </dxf>
    <dxf>
      <numFmt numFmtId="165" formatCode="\£#,##0.00;[Red]\-\£#,##0.00;\£0.00"/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7" formatCode="dd/mm/yyyy\ hh:mm"/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wrapText="1"/>
    </dxf>
    <dxf>
      <alignment vertical="center" wrapText="1"/>
    </dxf>
    <dxf>
      <alignment horizontal="center" vertic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vertical="center"/>
    </dxf>
    <dxf>
      <font>
        <b/>
        <color rgb="FF17324D"/>
      </font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23A25F-70DD-4018-9AAE-72EBAEFEEE5A}" name="TradingChecklist" displayName="TradingChecklist" ref="A4:E30" totalsRowShown="0" headerRowDxfId="38" dataDxfId="37">
  <autoFilter ref="A4:E30" xr:uid="{8723A25F-70DD-4018-9AAE-72EBAEFEEE5A}"/>
  <tableColumns count="5">
    <tableColumn id="1" xr3:uid="{821CA8CC-FA7E-4394-89A1-972211B17E53}" name="Section" dataDxfId="36"/>
    <tableColumn id="2" xr3:uid="{1CBE6EF7-5789-4A51-872B-7B964502AF57}" name="Condition" dataDxfId="35"/>
    <tableColumn id="3" xr3:uid="{4A5168F4-7C45-4286-AEC0-D51E194B61F5}" name="Status" dataDxfId="34"/>
    <tableColumn id="4" xr3:uid="{20D9AE52-9981-485B-A6E6-827D9834FEF3}" name="Guideline / figure" dataDxfId="33"/>
    <tableColumn id="5" xr3:uid="{265471C7-1546-40A7-9151-A531208EF1DA}" name="Your notes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F62669-0192-4010-A989-46082A8D2A8F}" name="TradeLog" displayName="TradeLog" ref="A4:V63" totalsRowShown="0" headerRowDxfId="31" dataDxfId="30">
  <autoFilter ref="A4:V63" xr:uid="{F7F62669-0192-4010-A989-46082A8D2A8F}"/>
  <tableColumns count="22">
    <tableColumn id="1" xr3:uid="{C7021ECE-8044-45D9-956B-FEB461144659}" name="Trade ID" dataDxfId="29"/>
    <tableColumn id="2" xr3:uid="{D9579105-80F4-419E-9485-A047857B0F4B}" name="Open Timestamp (UTC)" dataDxfId="20"/>
    <tableColumn id="3" xr3:uid="{4728173F-0125-4EF5-BA46-BA32162DB22F}" name="Close Timestamp (UTC)" dataDxfId="19"/>
    <tableColumn id="4" xr3:uid="{DEEA9651-40C1-42E8-9333-29BB942B609C}" name="Ticker" dataDxfId="28"/>
    <tableColumn id="5" xr3:uid="{0A6E0FA3-1A90-48E2-A625-D255D8C6E1C8}" name="Currency" dataDxfId="27"/>
    <tableColumn id="6" xr3:uid="{38357F4D-B832-4EA9-9EB6-BA933F1075F7}" name="Direction" dataDxfId="26"/>
    <tableColumn id="7" xr3:uid="{33740822-6165-4B57-B9C9-678530BB1EC0}" name="Trading Platform" dataDxfId="25"/>
    <tableColumn id="8" xr3:uid="{34E765F3-F484-4063-BE74-690C3A1B4055}" name="Entry Price" dataDxfId="18"/>
    <tableColumn id="9" xr3:uid="{E4857188-5946-455B-A90D-BECA70308668}" name="Exit Price" dataDxfId="17"/>
    <tableColumn id="10" xr3:uid="{825426F3-FF3B-47BC-B751-B5654EE97309}" name="SL" dataDxfId="16"/>
    <tableColumn id="11" xr3:uid="{E9C1F216-1890-4E0D-888B-B317000B5E92}" name="TP" dataDxfId="15"/>
    <tableColumn id="12" xr3:uid="{AF2BA964-2A12-45B7-ABB7-525477CD85BE}" name="Position Size" dataDxfId="14"/>
    <tableColumn id="13" xr3:uid="{807C201C-EF95-494B-A798-D252058D3FEF}" name="Reason for Entry" dataDxfId="9"/>
    <tableColumn id="14" xr3:uid="{06A0A0CE-6940-4BE5-B34C-AB44F39FAD43}" name="Checklist Passed?" dataDxfId="24"/>
    <tableColumn id="15" xr3:uid="{BB231E78-399A-4BB3-9202-4425C6DCB66F}" name="Close Source" dataDxfId="23"/>
    <tableColumn id="16" xr3:uid="{841F24EB-AD9F-4EF7-947C-CEBA705DAD76}" name="Status" dataDxfId="22"/>
    <tableColumn id="17" xr3:uid="{C2D03972-D982-4A8C-A667-D7BB473A5DFA}" name="Notes" dataDxfId="8"/>
    <tableColumn id="19" xr3:uid="{C4AFA4D1-43D9-4CDA-A157-218C85E999CA}" name="Fees / Adjustments" dataDxfId="21"/>
    <tableColumn id="20" xr3:uid="{3747B453-DB01-4E82-8025-B025090B5A0A}" name="Outcome (P/L)" dataDxfId="13"/>
    <tableColumn id="21" xr3:uid="{47F248F0-5D7E-45EC-B2AF-A2BB771CA7DE}" name="Cumulative P/L" dataDxfId="12">
      <calculatedColumnFormula>IF(S5="","",SUM($S$5:S5))</calculatedColumnFormula>
    </tableColumn>
    <tableColumn id="22" xr3:uid="{5C1CBAE9-1077-4830-806F-14CE3BD3A29B}" name="Running Peak" dataDxfId="11">
      <calculatedColumnFormula>IF(T5="","",MAX(0,MAX($T$5:T5)))</calculatedColumnFormula>
    </tableColumn>
    <tableColumn id="23" xr3:uid="{E3AF948F-A744-4A55-B478-1175642EC3DC}" name="Drawdown" dataDxfId="10">
      <calculatedColumnFormula>IF(T5="","",T5-U5)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51E2-FF84-4CC9-A693-F34C3CD23D5B}">
  <dimension ref="A1:B13"/>
  <sheetViews>
    <sheetView workbookViewId="0">
      <selection activeCell="F20" sqref="F20"/>
    </sheetView>
  </sheetViews>
  <sheetFormatPr defaultRowHeight="15" x14ac:dyDescent="0.25"/>
  <cols>
    <col min="1" max="1" width="38.140625" customWidth="1"/>
    <col min="2" max="2" width="66.7109375" customWidth="1"/>
  </cols>
  <sheetData>
    <row r="1" spans="1:2" ht="23.25" x14ac:dyDescent="0.25">
      <c r="A1" s="31" t="s">
        <v>44</v>
      </c>
      <c r="B1" s="31"/>
    </row>
    <row r="2" spans="1:2" x14ac:dyDescent="0.25">
      <c r="A2" s="32" t="s">
        <v>45</v>
      </c>
      <c r="B2" s="32"/>
    </row>
    <row r="3" spans="1:2" x14ac:dyDescent="0.25">
      <c r="A3" s="5"/>
      <c r="B3" s="5"/>
    </row>
    <row r="4" spans="1:2" x14ac:dyDescent="0.25">
      <c r="A4" s="19" t="s">
        <v>46</v>
      </c>
      <c r="B4" s="19" t="s">
        <v>47</v>
      </c>
    </row>
    <row r="5" spans="1:2" ht="30" x14ac:dyDescent="0.25">
      <c r="A5" s="28" t="s">
        <v>48</v>
      </c>
      <c r="B5" s="29" t="s">
        <v>176</v>
      </c>
    </row>
    <row r="6" spans="1:2" ht="30" x14ac:dyDescent="0.25">
      <c r="A6" s="28" t="s">
        <v>49</v>
      </c>
      <c r="B6" s="29" t="s">
        <v>177</v>
      </c>
    </row>
    <row r="7" spans="1:2" ht="30" x14ac:dyDescent="0.25">
      <c r="A7" s="28" t="s">
        <v>50</v>
      </c>
      <c r="B7" s="29" t="s">
        <v>51</v>
      </c>
    </row>
    <row r="8" spans="1:2" x14ac:dyDescent="0.25">
      <c r="A8" s="28" t="s">
        <v>178</v>
      </c>
      <c r="B8" s="29" t="s">
        <v>179</v>
      </c>
    </row>
    <row r="9" spans="1:2" ht="30" x14ac:dyDescent="0.25">
      <c r="A9" s="28" t="s">
        <v>180</v>
      </c>
      <c r="B9" s="29" t="s">
        <v>181</v>
      </c>
    </row>
    <row r="11" spans="1:2" x14ac:dyDescent="0.25">
      <c r="A11" s="33" t="s">
        <v>182</v>
      </c>
      <c r="B11" s="33"/>
    </row>
    <row r="13" spans="1:2" x14ac:dyDescent="0.25">
      <c r="A13" s="34" t="s">
        <v>183</v>
      </c>
      <c r="B13" s="34"/>
    </row>
  </sheetData>
  <mergeCells count="4">
    <mergeCell ref="A1:B1"/>
    <mergeCell ref="A2:B2"/>
    <mergeCell ref="A11:B11"/>
    <mergeCell ref="A13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04"/>
  <sheetViews>
    <sheetView workbookViewId="0">
      <selection activeCell="K5" sqref="K5"/>
    </sheetView>
  </sheetViews>
  <sheetFormatPr defaultRowHeight="15" x14ac:dyDescent="0.25"/>
  <cols>
    <col min="1" max="1" width="20" style="2" customWidth="1"/>
    <col min="2" max="2" width="39" customWidth="1"/>
    <col min="3" max="3" width="12.42578125" customWidth="1"/>
    <col min="4" max="4" width="49.5703125" customWidth="1"/>
    <col min="5" max="5" width="34.28515625" customWidth="1"/>
    <col min="6" max="6" width="3.42578125" customWidth="1"/>
    <col min="7" max="7" width="21.85546875" customWidth="1"/>
    <col min="8" max="8" width="21" customWidth="1"/>
    <col min="9" max="9" width="16.140625" customWidth="1"/>
  </cols>
  <sheetData>
    <row r="1" spans="1:50" s="2" customFormat="1" ht="23.25" x14ac:dyDescent="0.25">
      <c r="A1" s="31" t="s">
        <v>52</v>
      </c>
      <c r="B1" s="31"/>
      <c r="C1" s="31"/>
      <c r="D1" s="31"/>
      <c r="E1" s="3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</row>
    <row r="2" spans="1:50" x14ac:dyDescent="0.25">
      <c r="A2" s="32" t="s">
        <v>53</v>
      </c>
      <c r="B2" s="32"/>
      <c r="C2" s="32"/>
      <c r="D2" s="32"/>
      <c r="E2" s="32"/>
    </row>
    <row r="3" spans="1:50" x14ac:dyDescent="0.25">
      <c r="A3" s="5"/>
      <c r="B3" s="5"/>
      <c r="C3" s="5"/>
      <c r="D3" s="5"/>
      <c r="E3" s="5"/>
    </row>
    <row r="4" spans="1:50" x14ac:dyDescent="0.25">
      <c r="A4" s="5" t="s">
        <v>0</v>
      </c>
      <c r="B4" s="5" t="s">
        <v>1</v>
      </c>
      <c r="C4" s="5" t="s">
        <v>54</v>
      </c>
      <c r="D4" s="5" t="s">
        <v>55</v>
      </c>
      <c r="E4" s="5" t="s">
        <v>56</v>
      </c>
      <c r="G4" s="36" t="s">
        <v>109</v>
      </c>
      <c r="H4" s="36"/>
      <c r="I4" s="36"/>
    </row>
    <row r="5" spans="1:50" ht="48" customHeight="1" x14ac:dyDescent="0.25">
      <c r="A5" s="6" t="s">
        <v>3</v>
      </c>
      <c r="B5" s="5" t="s">
        <v>57</v>
      </c>
      <c r="C5" s="12" t="b">
        <v>0</v>
      </c>
      <c r="D5" s="1" t="s">
        <v>58</v>
      </c>
      <c r="E5" s="1"/>
      <c r="G5" s="37" t="str">
        <f>IF(AND(G8&gt;=12,G9&gt;=3,G10&lt;3),"ENTER LONG",IF(AND(G8&gt;=12,G10&gt;=3,G9&lt;3),"ENTER SHORT","NO ENTRY"))</f>
        <v>NO ENTRY</v>
      </c>
      <c r="H5" s="37"/>
      <c r="I5" s="37"/>
    </row>
    <row r="6" spans="1:50" ht="48" customHeight="1" x14ac:dyDescent="0.25">
      <c r="A6" s="6"/>
      <c r="B6" s="5" t="s">
        <v>59</v>
      </c>
      <c r="C6" s="12" t="b">
        <v>0</v>
      </c>
      <c r="D6" s="1" t="s">
        <v>60</v>
      </c>
      <c r="E6" s="1"/>
      <c r="G6" s="37"/>
      <c r="H6" s="37"/>
      <c r="I6" s="37"/>
    </row>
    <row r="7" spans="1:50" x14ac:dyDescent="0.25">
      <c r="A7" s="6"/>
      <c r="B7" s="5" t="s">
        <v>4</v>
      </c>
      <c r="C7" s="12" t="b">
        <v>0</v>
      </c>
      <c r="D7" s="1" t="s">
        <v>61</v>
      </c>
      <c r="E7" s="1"/>
    </row>
    <row r="8" spans="1:50" ht="30" x14ac:dyDescent="0.25">
      <c r="A8" s="6" t="s">
        <v>5</v>
      </c>
      <c r="B8" s="5" t="s">
        <v>6</v>
      </c>
      <c r="C8" s="12" t="b">
        <v>0</v>
      </c>
      <c r="D8" s="1" t="s">
        <v>62</v>
      </c>
      <c r="E8" s="1"/>
      <c r="G8" s="2" t="s">
        <v>110</v>
      </c>
      <c r="H8" s="13" t="s">
        <v>113</v>
      </c>
      <c r="I8" s="14">
        <f>COUNTIF(C7,TRUE)+COUNTIF(C10:C13,TRUE)+COUNTIF(C16:C26,TRUE)</f>
        <v>0</v>
      </c>
    </row>
    <row r="9" spans="1:50" ht="30" x14ac:dyDescent="0.25">
      <c r="A9" s="6"/>
      <c r="B9" s="5" t="s">
        <v>7</v>
      </c>
      <c r="C9" s="12" t="b">
        <v>0</v>
      </c>
      <c r="D9" s="1" t="s">
        <v>63</v>
      </c>
      <c r="E9" s="1"/>
      <c r="G9" s="2" t="s">
        <v>111</v>
      </c>
      <c r="H9" s="13" t="s">
        <v>126</v>
      </c>
      <c r="I9" s="15">
        <f>COUNTIF(C5,TRUE)+COUNTIF(C8,TRUE)+COUNTIF(C14,TRUE)+COUNTIF(C27,TRUE)+COUNTIF(C29,TRUE)</f>
        <v>0</v>
      </c>
    </row>
    <row r="10" spans="1:50" x14ac:dyDescent="0.25">
      <c r="A10" s="6"/>
      <c r="B10" s="5" t="s">
        <v>8</v>
      </c>
      <c r="C10" s="12" t="b">
        <v>0</v>
      </c>
      <c r="D10" s="1" t="s">
        <v>64</v>
      </c>
      <c r="E10" s="1"/>
      <c r="G10" s="2" t="s">
        <v>112</v>
      </c>
      <c r="H10" s="13" t="s">
        <v>126</v>
      </c>
      <c r="I10" s="15">
        <f>COUNTIF(C6,TRUE)+COUNTIF(C9,TRUE)+COUNTIF(C15,TRUE)+COUNTIF(C28,TRUE)+COUNTIF(C30,TRUE)</f>
        <v>0</v>
      </c>
    </row>
    <row r="11" spans="1:50" ht="30" x14ac:dyDescent="0.25">
      <c r="A11" s="6" t="s">
        <v>9</v>
      </c>
      <c r="B11" s="5" t="s">
        <v>10</v>
      </c>
      <c r="C11" s="12" t="b">
        <v>0</v>
      </c>
      <c r="D11" s="1" t="s">
        <v>65</v>
      </c>
      <c r="E11" s="1"/>
    </row>
    <row r="12" spans="1:50" x14ac:dyDescent="0.25">
      <c r="A12" s="6"/>
      <c r="B12" s="5" t="s">
        <v>11</v>
      </c>
      <c r="C12" s="12" t="b">
        <v>0</v>
      </c>
      <c r="D12" s="1" t="s">
        <v>66</v>
      </c>
      <c r="E12" s="1"/>
      <c r="G12" s="35" t="s">
        <v>127</v>
      </c>
      <c r="H12" s="35"/>
      <c r="I12" s="35"/>
    </row>
    <row r="13" spans="1:50" x14ac:dyDescent="0.25">
      <c r="A13" s="6"/>
      <c r="B13" s="5" t="s">
        <v>12</v>
      </c>
      <c r="C13" s="12" t="b">
        <v>0</v>
      </c>
      <c r="D13" s="1" t="s">
        <v>67</v>
      </c>
      <c r="E13" s="1"/>
    </row>
    <row r="14" spans="1:50" ht="30" x14ac:dyDescent="0.25">
      <c r="A14" s="6" t="s">
        <v>13</v>
      </c>
      <c r="B14" s="5" t="s">
        <v>14</v>
      </c>
      <c r="C14" s="12" t="b">
        <v>0</v>
      </c>
      <c r="D14" s="1" t="s">
        <v>68</v>
      </c>
      <c r="E14" s="1"/>
    </row>
    <row r="15" spans="1:50" ht="30" x14ac:dyDescent="0.25">
      <c r="A15" s="6"/>
      <c r="B15" s="5" t="s">
        <v>15</v>
      </c>
      <c r="C15" s="12" t="b">
        <v>0</v>
      </c>
      <c r="D15" s="1" t="s">
        <v>69</v>
      </c>
      <c r="E15" s="1"/>
    </row>
    <row r="16" spans="1:50" ht="30" x14ac:dyDescent="0.25">
      <c r="A16" s="6"/>
      <c r="B16" s="5" t="s">
        <v>16</v>
      </c>
      <c r="C16" s="12" t="b">
        <v>0</v>
      </c>
      <c r="D16" s="1" t="s">
        <v>70</v>
      </c>
      <c r="E16" s="1"/>
    </row>
    <row r="17" spans="1:5" ht="30" x14ac:dyDescent="0.25">
      <c r="A17" s="6" t="s">
        <v>17</v>
      </c>
      <c r="B17" s="5" t="s">
        <v>71</v>
      </c>
      <c r="C17" s="12" t="b">
        <v>0</v>
      </c>
      <c r="D17" s="1" t="s">
        <v>72</v>
      </c>
      <c r="E17" s="1"/>
    </row>
    <row r="18" spans="1:5" ht="30" x14ac:dyDescent="0.25">
      <c r="A18" s="6"/>
      <c r="B18" s="5" t="s">
        <v>73</v>
      </c>
      <c r="C18" s="12" t="b">
        <v>0</v>
      </c>
      <c r="D18" s="1" t="s">
        <v>74</v>
      </c>
      <c r="E18" s="1"/>
    </row>
    <row r="19" spans="1:5" ht="30" x14ac:dyDescent="0.25">
      <c r="A19" s="6"/>
      <c r="B19" s="5" t="s">
        <v>18</v>
      </c>
      <c r="C19" s="12" t="b">
        <v>0</v>
      </c>
      <c r="D19" s="1" t="s">
        <v>75</v>
      </c>
      <c r="E19" s="1"/>
    </row>
    <row r="20" spans="1:5" ht="30" x14ac:dyDescent="0.25">
      <c r="A20" s="6"/>
      <c r="B20" s="5" t="s">
        <v>19</v>
      </c>
      <c r="C20" s="12" t="b">
        <v>0</v>
      </c>
      <c r="D20" s="1" t="s">
        <v>76</v>
      </c>
      <c r="E20" s="1"/>
    </row>
    <row r="21" spans="1:5" ht="30" x14ac:dyDescent="0.25">
      <c r="A21" s="6" t="s">
        <v>20</v>
      </c>
      <c r="B21" s="5" t="s">
        <v>21</v>
      </c>
      <c r="C21" s="12" t="b">
        <v>0</v>
      </c>
      <c r="D21" s="1" t="s">
        <v>77</v>
      </c>
      <c r="E21" s="1"/>
    </row>
    <row r="22" spans="1:5" x14ac:dyDescent="0.25">
      <c r="A22" s="6"/>
      <c r="B22" s="5" t="s">
        <v>22</v>
      </c>
      <c r="C22" s="12" t="b">
        <v>0</v>
      </c>
      <c r="D22" s="1" t="s">
        <v>78</v>
      </c>
      <c r="E22" s="1"/>
    </row>
    <row r="23" spans="1:5" ht="30" x14ac:dyDescent="0.25">
      <c r="A23" s="6"/>
      <c r="B23" s="5" t="s">
        <v>23</v>
      </c>
      <c r="C23" s="12" t="b">
        <v>0</v>
      </c>
      <c r="D23" s="1" t="s">
        <v>79</v>
      </c>
      <c r="E23" s="1"/>
    </row>
    <row r="24" spans="1:5" x14ac:dyDescent="0.25">
      <c r="A24" s="6" t="s">
        <v>24</v>
      </c>
      <c r="B24" s="5" t="s">
        <v>25</v>
      </c>
      <c r="C24" s="12" t="b">
        <v>0</v>
      </c>
      <c r="D24" s="1" t="s">
        <v>80</v>
      </c>
      <c r="E24" s="1"/>
    </row>
    <row r="25" spans="1:5" ht="30" x14ac:dyDescent="0.25">
      <c r="A25" s="6"/>
      <c r="B25" s="5" t="s">
        <v>81</v>
      </c>
      <c r="C25" s="12" t="b">
        <v>0</v>
      </c>
      <c r="D25" s="1" t="s">
        <v>82</v>
      </c>
      <c r="E25" s="1"/>
    </row>
    <row r="26" spans="1:5" ht="30" x14ac:dyDescent="0.25">
      <c r="A26" s="6"/>
      <c r="B26" s="5" t="s">
        <v>26</v>
      </c>
      <c r="C26" s="12" t="b">
        <v>0</v>
      </c>
      <c r="D26" s="1" t="s">
        <v>83</v>
      </c>
      <c r="E26" s="1"/>
    </row>
    <row r="27" spans="1:5" ht="30" x14ac:dyDescent="0.25">
      <c r="A27" s="6" t="s">
        <v>114</v>
      </c>
      <c r="B27" s="5" t="s">
        <v>115</v>
      </c>
      <c r="C27" s="12" t="b">
        <v>0</v>
      </c>
      <c r="D27" s="1" t="s">
        <v>116</v>
      </c>
      <c r="E27" s="1"/>
    </row>
    <row r="28" spans="1:5" ht="30" x14ac:dyDescent="0.25">
      <c r="A28" s="6"/>
      <c r="B28" s="5" t="s">
        <v>117</v>
      </c>
      <c r="C28" s="12" t="b">
        <v>0</v>
      </c>
      <c r="D28" s="1" t="s">
        <v>118</v>
      </c>
      <c r="E28" s="1"/>
    </row>
    <row r="29" spans="1:5" ht="15" customHeight="1" x14ac:dyDescent="0.25">
      <c r="A29" s="6" t="s">
        <v>119</v>
      </c>
      <c r="B29" s="5" t="s">
        <v>120</v>
      </c>
      <c r="C29" s="12" t="b">
        <v>0</v>
      </c>
      <c r="D29" s="1" t="s">
        <v>121</v>
      </c>
      <c r="E29" s="1"/>
    </row>
    <row r="30" spans="1:5" ht="30" x14ac:dyDescent="0.25">
      <c r="A30" s="6"/>
      <c r="B30" s="5" t="s">
        <v>122</v>
      </c>
      <c r="C30" s="12" t="b">
        <v>0</v>
      </c>
      <c r="D30" s="1" t="s">
        <v>123</v>
      </c>
      <c r="E30" s="1"/>
    </row>
    <row r="31" spans="1:5" x14ac:dyDescent="0.25">
      <c r="A31" s="5"/>
      <c r="B31" s="5"/>
      <c r="C31" s="5"/>
      <c r="D31" s="5"/>
      <c r="E31" s="5"/>
    </row>
    <row r="32" spans="1:5" x14ac:dyDescent="0.25">
      <c r="A32" s="38" t="s">
        <v>84</v>
      </c>
      <c r="B32" s="38"/>
      <c r="C32" s="38"/>
      <c r="D32" s="38"/>
      <c r="E32" s="38"/>
    </row>
    <row r="33" spans="1:5" x14ac:dyDescent="0.25">
      <c r="A33" s="39" t="s">
        <v>124</v>
      </c>
      <c r="B33" s="39"/>
      <c r="C33" s="39"/>
      <c r="D33" s="39"/>
      <c r="E33" s="39"/>
    </row>
    <row r="34" spans="1:5" x14ac:dyDescent="0.25">
      <c r="A34" s="35" t="s">
        <v>125</v>
      </c>
      <c r="B34" s="35"/>
      <c r="C34" s="35"/>
      <c r="D34" s="35"/>
      <c r="E34" s="35"/>
    </row>
    <row r="35" spans="1:5" x14ac:dyDescent="0.25">
      <c r="A35"/>
    </row>
    <row r="36" spans="1:5" x14ac:dyDescent="0.25">
      <c r="A36"/>
    </row>
    <row r="37" spans="1:5" x14ac:dyDescent="0.25">
      <c r="A37"/>
    </row>
    <row r="38" spans="1:5" x14ac:dyDescent="0.25">
      <c r="A38"/>
    </row>
    <row r="39" spans="1:5" x14ac:dyDescent="0.25">
      <c r="A39"/>
    </row>
    <row r="40" spans="1:5" x14ac:dyDescent="0.25">
      <c r="A40"/>
    </row>
    <row r="41" spans="1:5" x14ac:dyDescent="0.25">
      <c r="A41"/>
    </row>
    <row r="42" spans="1:5" x14ac:dyDescent="0.25">
      <c r="A42"/>
    </row>
    <row r="43" spans="1:5" x14ac:dyDescent="0.25">
      <c r="A43"/>
    </row>
    <row r="44" spans="1:5" x14ac:dyDescent="0.25">
      <c r="A44"/>
    </row>
    <row r="45" spans="1:5" x14ac:dyDescent="0.25">
      <c r="A45"/>
    </row>
    <row r="46" spans="1:5" x14ac:dyDescent="0.25">
      <c r="A46"/>
    </row>
    <row r="47" spans="1:5" x14ac:dyDescent="0.25">
      <c r="A47"/>
    </row>
    <row r="48" spans="1:5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</sheetData>
  <mergeCells count="8">
    <mergeCell ref="A34:E34"/>
    <mergeCell ref="A1:E1"/>
    <mergeCell ref="A2:E2"/>
    <mergeCell ref="G4:I4"/>
    <mergeCell ref="G5:I6"/>
    <mergeCell ref="G12:I12"/>
    <mergeCell ref="A32:E32"/>
    <mergeCell ref="A33:E33"/>
  </mergeCells>
  <conditionalFormatting sqref="C5:C30">
    <cfRule type="cellIs" dxfId="7" priority="1" operator="equal">
      <formula>TRUE</formula>
    </cfRule>
  </conditionalFormatting>
  <conditionalFormatting sqref="G5:I6">
    <cfRule type="expression" dxfId="6" priority="2">
      <formula>G5="ENTER LONG"</formula>
    </cfRule>
    <cfRule type="expression" dxfId="5" priority="3">
      <formula>G5="ENTER SHORT"</formula>
    </cfRule>
    <cfRule type="expression" dxfId="4" priority="4">
      <formula>G5="NO ENTRY"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F1B9-0C0F-447C-99C3-2032A6757813}">
  <dimension ref="A1:W523"/>
  <sheetViews>
    <sheetView tabSelected="1" topLeftCell="A30" zoomScale="80" zoomScaleNormal="80" workbookViewId="0">
      <selection activeCell="E69" sqref="E69"/>
    </sheetView>
  </sheetViews>
  <sheetFormatPr defaultRowHeight="15" x14ac:dyDescent="0.25"/>
  <cols>
    <col min="1" max="1" width="41.85546875" customWidth="1"/>
    <col min="2" max="3" width="23.85546875" customWidth="1"/>
    <col min="4" max="4" width="11.42578125" customWidth="1"/>
    <col min="5" max="6" width="12.42578125" customWidth="1"/>
    <col min="7" max="7" width="16.140625" customWidth="1"/>
    <col min="8" max="11" width="13.7109375" customWidth="1"/>
    <col min="12" max="12" width="14.85546875" customWidth="1"/>
    <col min="13" max="13" width="28.5703125" customWidth="1"/>
    <col min="14" max="14" width="18.140625" customWidth="1"/>
    <col min="15" max="15" width="14.85546875" customWidth="1"/>
    <col min="16" max="16" width="13.28515625" customWidth="1"/>
    <col min="17" max="17" width="34.28515625" customWidth="1"/>
    <col min="18" max="18" width="20" customWidth="1"/>
    <col min="19" max="19" width="17.140625" customWidth="1"/>
    <col min="20" max="20" width="18.140625" customWidth="1"/>
    <col min="21" max="22" width="17.140625" customWidth="1"/>
    <col min="23" max="23" width="16.140625" customWidth="1"/>
  </cols>
  <sheetData>
    <row r="1" spans="1:23" ht="23.25" x14ac:dyDescent="0.25">
      <c r="A1" s="41" t="s">
        <v>85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20"/>
    </row>
    <row r="2" spans="1:23" ht="15" customHeight="1" x14ac:dyDescent="0.25">
      <c r="A2" s="40" t="s">
        <v>199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21"/>
    </row>
    <row r="3" spans="1:2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23" x14ac:dyDescent="0.25">
      <c r="A4" s="22" t="s">
        <v>172</v>
      </c>
      <c r="B4" s="22" t="s">
        <v>173</v>
      </c>
      <c r="C4" s="22" t="s">
        <v>174</v>
      </c>
      <c r="D4" s="23" t="s">
        <v>27</v>
      </c>
      <c r="E4" s="22" t="s">
        <v>130</v>
      </c>
      <c r="F4" s="22" t="s">
        <v>28</v>
      </c>
      <c r="G4" s="22" t="s">
        <v>104</v>
      </c>
      <c r="H4" s="22" t="s">
        <v>29</v>
      </c>
      <c r="I4" s="22" t="s">
        <v>30</v>
      </c>
      <c r="J4" s="22" t="s">
        <v>31</v>
      </c>
      <c r="K4" s="22" t="s">
        <v>32</v>
      </c>
      <c r="L4" s="22" t="s">
        <v>33</v>
      </c>
      <c r="M4" s="22" t="s">
        <v>34</v>
      </c>
      <c r="N4" s="22" t="s">
        <v>35</v>
      </c>
      <c r="O4" s="22" t="s">
        <v>175</v>
      </c>
      <c r="P4" s="22" t="s">
        <v>54</v>
      </c>
      <c r="Q4" s="22" t="s">
        <v>2</v>
      </c>
      <c r="R4" s="22" t="s">
        <v>128</v>
      </c>
      <c r="S4" s="22" t="s">
        <v>36</v>
      </c>
      <c r="T4" s="22" t="s">
        <v>86</v>
      </c>
      <c r="U4" s="22" t="s">
        <v>87</v>
      </c>
      <c r="V4" s="22" t="s">
        <v>88</v>
      </c>
    </row>
    <row r="5" spans="1:23" x14ac:dyDescent="0.25">
      <c r="A5" s="7" t="s">
        <v>209</v>
      </c>
      <c r="B5" s="24">
        <v>46244.790372083335</v>
      </c>
      <c r="C5" s="24">
        <v>46244.791148553239</v>
      </c>
      <c r="D5" s="5" t="s">
        <v>145</v>
      </c>
      <c r="E5" s="8" t="s">
        <v>129</v>
      </c>
      <c r="F5" s="8" t="s">
        <v>39</v>
      </c>
      <c r="G5" s="8" t="s">
        <v>105</v>
      </c>
      <c r="H5" s="25">
        <v>219.01</v>
      </c>
      <c r="I5" s="25">
        <v>219.06</v>
      </c>
      <c r="J5" s="26"/>
      <c r="K5" s="26"/>
      <c r="L5" s="26">
        <v>0.5</v>
      </c>
      <c r="M5" s="17"/>
      <c r="N5" s="16"/>
      <c r="O5" s="18" t="s">
        <v>132</v>
      </c>
      <c r="P5" s="18" t="s">
        <v>133</v>
      </c>
      <c r="Q5" s="30"/>
      <c r="R5" s="27"/>
      <c r="S5" s="27">
        <v>-0.02</v>
      </c>
      <c r="T5" s="27">
        <f>IF(S5="","",SUM($S$5:S5))</f>
        <v>-0.02</v>
      </c>
      <c r="U5" s="27">
        <f>IF(T5="","",MAX(0,MAX($T$5:T5)))</f>
        <v>0</v>
      </c>
      <c r="V5" s="27">
        <f>IF(T5="","",T5-U5)</f>
        <v>-0.02</v>
      </c>
    </row>
    <row r="6" spans="1:23" x14ac:dyDescent="0.25">
      <c r="A6" s="7" t="s">
        <v>208</v>
      </c>
      <c r="B6" s="24">
        <v>46244.80452153935</v>
      </c>
      <c r="C6" s="24">
        <v>46244.805508124999</v>
      </c>
      <c r="D6" s="5" t="s">
        <v>145</v>
      </c>
      <c r="E6" s="8" t="s">
        <v>129</v>
      </c>
      <c r="F6" s="8" t="s">
        <v>39</v>
      </c>
      <c r="G6" s="8" t="s">
        <v>105</v>
      </c>
      <c r="H6" s="25">
        <v>219.08</v>
      </c>
      <c r="I6" s="25">
        <v>218.98</v>
      </c>
      <c r="J6" s="26"/>
      <c r="K6" s="26"/>
      <c r="L6" s="26">
        <v>0.5</v>
      </c>
      <c r="M6" s="17"/>
      <c r="N6" s="16"/>
      <c r="O6" s="18" t="s">
        <v>132</v>
      </c>
      <c r="P6" s="18" t="s">
        <v>133</v>
      </c>
      <c r="Q6" s="30"/>
      <c r="R6" s="27"/>
      <c r="S6" s="27">
        <v>0.04</v>
      </c>
      <c r="T6" s="27">
        <f>IF(S6="","",SUM($S$5:S6))</f>
        <v>0.02</v>
      </c>
      <c r="U6" s="27">
        <f>IF(T6="","",MAX(0,MAX($T$5:T6)))</f>
        <v>0.02</v>
      </c>
      <c r="V6" s="27">
        <f>IF(T6="","",T6-U6)</f>
        <v>0</v>
      </c>
    </row>
    <row r="7" spans="1:23" x14ac:dyDescent="0.25">
      <c r="A7" s="7" t="s">
        <v>207</v>
      </c>
      <c r="B7" s="24"/>
      <c r="C7" s="24">
        <v>46244.831266458335</v>
      </c>
      <c r="D7" s="5" t="s">
        <v>145</v>
      </c>
      <c r="E7" s="8" t="s">
        <v>129</v>
      </c>
      <c r="F7" s="8" t="s">
        <v>39</v>
      </c>
      <c r="G7" s="8" t="s">
        <v>105</v>
      </c>
      <c r="H7" s="25"/>
      <c r="I7" s="25">
        <v>217.55</v>
      </c>
      <c r="J7" s="26"/>
      <c r="K7" s="26"/>
      <c r="L7" s="26">
        <v>1</v>
      </c>
      <c r="M7" s="17"/>
      <c r="N7" s="16"/>
      <c r="O7" s="18" t="s">
        <v>132</v>
      </c>
      <c r="P7" s="18" t="s">
        <v>133</v>
      </c>
      <c r="Q7" s="30"/>
      <c r="R7" s="27"/>
      <c r="S7" s="27">
        <v>0.62</v>
      </c>
      <c r="T7" s="27">
        <f>IF(S7="","",SUM($S$5:S7))</f>
        <v>0.64</v>
      </c>
      <c r="U7" s="27">
        <f>IF(T7="","",MAX(0,MAX($T$5:T7)))</f>
        <v>0.64</v>
      </c>
      <c r="V7" s="27">
        <f>IF(T7="","",T7-U7)</f>
        <v>0</v>
      </c>
    </row>
    <row r="8" spans="1:23" x14ac:dyDescent="0.25">
      <c r="A8" s="7" t="s">
        <v>163</v>
      </c>
      <c r="B8" s="24">
        <v>46245.518400844907</v>
      </c>
      <c r="C8" s="24">
        <v>46246.578073483797</v>
      </c>
      <c r="D8" s="5" t="s">
        <v>150</v>
      </c>
      <c r="E8" s="8" t="s">
        <v>129</v>
      </c>
      <c r="F8" s="8" t="s">
        <v>39</v>
      </c>
      <c r="G8" s="8" t="s">
        <v>105</v>
      </c>
      <c r="H8" s="25">
        <v>172.71</v>
      </c>
      <c r="I8" s="26">
        <v>170</v>
      </c>
      <c r="J8" s="26"/>
      <c r="K8" s="26"/>
      <c r="L8" s="26">
        <v>2.5</v>
      </c>
      <c r="M8" s="17"/>
      <c r="N8" s="16" t="s">
        <v>108</v>
      </c>
      <c r="O8" s="18" t="s">
        <v>32</v>
      </c>
      <c r="P8" s="18" t="s">
        <v>133</v>
      </c>
      <c r="Q8" s="30"/>
      <c r="R8" s="27"/>
      <c r="S8" s="27">
        <v>4.97</v>
      </c>
      <c r="T8" s="27">
        <f>IF(S8="","",SUM($S$5:S8))</f>
        <v>5.6099999999999994</v>
      </c>
      <c r="U8" s="27">
        <f>IF(T8="","",MAX(0,MAX($T$5:T8)))</f>
        <v>5.6099999999999994</v>
      </c>
      <c r="V8" s="27">
        <f>IF(T8="","",T8-U8)</f>
        <v>0</v>
      </c>
    </row>
    <row r="9" spans="1:23" x14ac:dyDescent="0.25">
      <c r="A9" s="7" t="s">
        <v>171</v>
      </c>
      <c r="B9" s="24">
        <v>46245.611831921298</v>
      </c>
      <c r="C9" s="24">
        <v>46245.617763333328</v>
      </c>
      <c r="D9" s="5" t="s">
        <v>145</v>
      </c>
      <c r="E9" s="8" t="s">
        <v>129</v>
      </c>
      <c r="F9" s="8" t="s">
        <v>39</v>
      </c>
      <c r="G9" s="8" t="s">
        <v>105</v>
      </c>
      <c r="H9" s="25">
        <v>218.93</v>
      </c>
      <c r="I9" s="26">
        <v>219.51</v>
      </c>
      <c r="J9" s="26">
        <v>219.51</v>
      </c>
      <c r="K9" s="26"/>
      <c r="L9" s="26">
        <v>1</v>
      </c>
      <c r="M9" s="17"/>
      <c r="N9" s="16" t="s">
        <v>108</v>
      </c>
      <c r="O9" s="18" t="s">
        <v>31</v>
      </c>
      <c r="P9" s="18" t="s">
        <v>133</v>
      </c>
      <c r="Q9" s="30"/>
      <c r="R9" s="27"/>
      <c r="S9" s="27">
        <v>-0.43</v>
      </c>
      <c r="T9" s="27">
        <f>IF(S9="","",SUM($S$5:S9))</f>
        <v>5.18</v>
      </c>
      <c r="U9" s="27">
        <f>IF(T9="","",MAX(0,MAX($T$5:T9)))</f>
        <v>5.6099999999999994</v>
      </c>
      <c r="V9" s="27">
        <f>IF(T9="","",T9-U9)</f>
        <v>-0.42999999999999972</v>
      </c>
    </row>
    <row r="10" spans="1:23" x14ac:dyDescent="0.25">
      <c r="A10" s="7" t="s">
        <v>170</v>
      </c>
      <c r="B10" s="24">
        <v>46245.724190497684</v>
      </c>
      <c r="C10" s="24">
        <v>46245.724275046297</v>
      </c>
      <c r="D10" s="5" t="s">
        <v>145</v>
      </c>
      <c r="E10" s="8" t="s">
        <v>129</v>
      </c>
      <c r="F10" s="8" t="s">
        <v>38</v>
      </c>
      <c r="G10" s="8" t="s">
        <v>105</v>
      </c>
      <c r="H10" s="25">
        <v>217.32</v>
      </c>
      <c r="I10" s="26">
        <v>217.25</v>
      </c>
      <c r="J10" s="26">
        <v>123</v>
      </c>
      <c r="K10" s="26"/>
      <c r="L10" s="26">
        <v>1</v>
      </c>
      <c r="M10" s="17"/>
      <c r="N10" s="16" t="s">
        <v>108</v>
      </c>
      <c r="O10" s="18" t="s">
        <v>132</v>
      </c>
      <c r="P10" s="18" t="s">
        <v>133</v>
      </c>
      <c r="Q10" s="30"/>
      <c r="R10" s="27"/>
      <c r="S10" s="27">
        <v>-0.05</v>
      </c>
      <c r="T10" s="27">
        <f>IF(S10="","",SUM($S$5:S10))</f>
        <v>5.13</v>
      </c>
      <c r="U10" s="27">
        <f>IF(T10="","",MAX(0,MAX($T$5:T10)))</f>
        <v>5.6099999999999994</v>
      </c>
      <c r="V10" s="27">
        <f>IF(T10="","",T10-U10)</f>
        <v>-0.47999999999999954</v>
      </c>
    </row>
    <row r="11" spans="1:23" x14ac:dyDescent="0.25">
      <c r="A11" s="7" t="s">
        <v>169</v>
      </c>
      <c r="B11" s="24">
        <v>46245.729444849538</v>
      </c>
      <c r="C11" s="24">
        <v>46245.729543182868</v>
      </c>
      <c r="D11" s="5" t="s">
        <v>145</v>
      </c>
      <c r="E11" s="8" t="s">
        <v>129</v>
      </c>
      <c r="F11" s="8" t="s">
        <v>38</v>
      </c>
      <c r="G11" s="8" t="s">
        <v>105</v>
      </c>
      <c r="H11" s="25">
        <v>217.37</v>
      </c>
      <c r="I11" s="26">
        <v>217.18</v>
      </c>
      <c r="J11" s="26">
        <v>123</v>
      </c>
      <c r="K11" s="26"/>
      <c r="L11" s="26">
        <v>1</v>
      </c>
      <c r="M11" s="17"/>
      <c r="N11" s="16" t="s">
        <v>108</v>
      </c>
      <c r="O11" s="18" t="s">
        <v>132</v>
      </c>
      <c r="P11" s="18" t="s">
        <v>133</v>
      </c>
      <c r="Q11" s="30"/>
      <c r="R11" s="27"/>
      <c r="S11" s="27">
        <v>-0.14000000000000001</v>
      </c>
      <c r="T11" s="27">
        <f>IF(S11="","",SUM($S$5:S11))</f>
        <v>4.99</v>
      </c>
      <c r="U11" s="27">
        <f>IF(T11="","",MAX(0,MAX($T$5:T11)))</f>
        <v>5.6099999999999994</v>
      </c>
      <c r="V11" s="27">
        <f>IF(T11="","",T11-U11)</f>
        <v>-0.61999999999999922</v>
      </c>
    </row>
    <row r="12" spans="1:23" x14ac:dyDescent="0.25">
      <c r="A12" s="7" t="s">
        <v>168</v>
      </c>
      <c r="B12" s="24">
        <v>46245.784776412038</v>
      </c>
      <c r="C12" s="24">
        <v>46245.79710653935</v>
      </c>
      <c r="D12" s="5" t="s">
        <v>136</v>
      </c>
      <c r="E12" s="8" t="s">
        <v>129</v>
      </c>
      <c r="F12" s="8" t="s">
        <v>38</v>
      </c>
      <c r="G12" s="8" t="s">
        <v>105</v>
      </c>
      <c r="H12" s="25">
        <v>503.68</v>
      </c>
      <c r="I12" s="26">
        <v>502.48</v>
      </c>
      <c r="J12" s="26">
        <v>502.5</v>
      </c>
      <c r="K12" s="26"/>
      <c r="L12" s="26">
        <v>1</v>
      </c>
      <c r="M12" s="17"/>
      <c r="N12" s="16" t="s">
        <v>108</v>
      </c>
      <c r="O12" s="18" t="s">
        <v>31</v>
      </c>
      <c r="P12" s="18" t="s">
        <v>133</v>
      </c>
      <c r="Q12" s="30"/>
      <c r="R12" s="27"/>
      <c r="S12" s="27">
        <v>-0.89</v>
      </c>
      <c r="T12" s="27">
        <f>IF(S12="","",SUM($S$5:S12))</f>
        <v>4.1000000000000005</v>
      </c>
      <c r="U12" s="27">
        <f>IF(T12="","",MAX(0,MAX($T$5:T12)))</f>
        <v>5.6099999999999994</v>
      </c>
      <c r="V12" s="27">
        <f>IF(T12="","",T12-U12)</f>
        <v>-1.5099999999999989</v>
      </c>
    </row>
    <row r="13" spans="1:23" x14ac:dyDescent="0.25">
      <c r="A13" s="7" t="s">
        <v>167</v>
      </c>
      <c r="B13" s="24">
        <v>46245.816002962965</v>
      </c>
      <c r="C13" s="24">
        <v>46245.825537546298</v>
      </c>
      <c r="D13" s="5" t="s">
        <v>145</v>
      </c>
      <c r="E13" s="8" t="s">
        <v>129</v>
      </c>
      <c r="F13" s="8" t="s">
        <v>38</v>
      </c>
      <c r="G13" s="8" t="s">
        <v>105</v>
      </c>
      <c r="H13" s="25">
        <v>218.04</v>
      </c>
      <c r="I13" s="26">
        <v>217.22</v>
      </c>
      <c r="J13" s="26">
        <v>217.22</v>
      </c>
      <c r="K13" s="26"/>
      <c r="L13" s="26">
        <v>0.4</v>
      </c>
      <c r="M13" s="17"/>
      <c r="N13" s="16" t="s">
        <v>108</v>
      </c>
      <c r="O13" s="18" t="s">
        <v>31</v>
      </c>
      <c r="P13" s="18" t="s">
        <v>133</v>
      </c>
      <c r="Q13" s="30"/>
      <c r="R13" s="27"/>
      <c r="S13" s="27">
        <v>-0.24</v>
      </c>
      <c r="T13" s="27">
        <f>IF(S13="","",SUM($S$5:S13))</f>
        <v>3.8600000000000003</v>
      </c>
      <c r="U13" s="27">
        <f>IF(T13="","",MAX(0,MAX($T$5:T13)))</f>
        <v>5.6099999999999994</v>
      </c>
      <c r="V13" s="27">
        <f>IF(T13="","",T13-U13)</f>
        <v>-1.7499999999999991</v>
      </c>
    </row>
    <row r="14" spans="1:23" x14ac:dyDescent="0.25">
      <c r="A14" s="7" t="s">
        <v>157</v>
      </c>
      <c r="B14" s="24">
        <v>46245.833421516203</v>
      </c>
      <c r="C14" s="24">
        <v>46246.652417442128</v>
      </c>
      <c r="D14" s="5" t="s">
        <v>136</v>
      </c>
      <c r="E14" s="8" t="s">
        <v>129</v>
      </c>
      <c r="F14" s="8" t="s">
        <v>38</v>
      </c>
      <c r="G14" s="8" t="s">
        <v>105</v>
      </c>
      <c r="H14" s="25">
        <v>503.85</v>
      </c>
      <c r="I14" s="26">
        <v>492.76</v>
      </c>
      <c r="J14" s="26">
        <v>400</v>
      </c>
      <c r="K14" s="26"/>
      <c r="L14" s="26">
        <v>0.38</v>
      </c>
      <c r="M14" s="17"/>
      <c r="N14" s="16" t="s">
        <v>108</v>
      </c>
      <c r="O14" s="18" t="s">
        <v>132</v>
      </c>
      <c r="P14" s="18" t="s">
        <v>133</v>
      </c>
      <c r="Q14" s="30"/>
      <c r="R14" s="27"/>
      <c r="S14" s="27">
        <v>-3.14</v>
      </c>
      <c r="T14" s="27">
        <f>IF(S14="","",SUM($S$5:S14))</f>
        <v>0.7200000000000002</v>
      </c>
      <c r="U14" s="27">
        <f>IF(T14="","",MAX(0,MAX($T$5:T14)))</f>
        <v>5.6099999999999994</v>
      </c>
      <c r="V14" s="27">
        <f>IF(T14="","",T14-U14)</f>
        <v>-4.8899999999999988</v>
      </c>
    </row>
    <row r="15" spans="1:23" x14ac:dyDescent="0.25">
      <c r="A15" s="7" t="s">
        <v>165</v>
      </c>
      <c r="B15" s="24">
        <v>46245.858458553237</v>
      </c>
      <c r="C15" s="24">
        <v>46246.522651608801</v>
      </c>
      <c r="D15" s="5" t="s">
        <v>37</v>
      </c>
      <c r="E15" s="8" t="s">
        <v>129</v>
      </c>
      <c r="F15" s="8" t="s">
        <v>38</v>
      </c>
      <c r="G15" s="8" t="s">
        <v>105</v>
      </c>
      <c r="H15" s="25">
        <v>866.65</v>
      </c>
      <c r="I15" s="26">
        <v>901.18</v>
      </c>
      <c r="J15" s="26">
        <v>849.3</v>
      </c>
      <c r="K15" s="26"/>
      <c r="L15" s="26">
        <v>0.47</v>
      </c>
      <c r="M15" s="17"/>
      <c r="N15" s="16" t="s">
        <v>108</v>
      </c>
      <c r="O15" s="18" t="s">
        <v>32</v>
      </c>
      <c r="P15" s="18" t="s">
        <v>133</v>
      </c>
      <c r="Q15" s="30"/>
      <c r="R15" s="27"/>
      <c r="S15" s="27">
        <v>11.92</v>
      </c>
      <c r="T15" s="27">
        <f>IF(S15="","",SUM($S$5:S15))</f>
        <v>12.64</v>
      </c>
      <c r="U15" s="27">
        <f>IF(T15="","",MAX(0,MAX($T$5:T15)))</f>
        <v>12.64</v>
      </c>
      <c r="V15" s="27">
        <f>IF(T15="","",T15-U15)</f>
        <v>0</v>
      </c>
    </row>
    <row r="16" spans="1:23" x14ac:dyDescent="0.25">
      <c r="A16" s="7" t="s">
        <v>166</v>
      </c>
      <c r="B16" s="24">
        <v>46245.876891678243</v>
      </c>
      <c r="C16" s="24">
        <v>46246.522651608801</v>
      </c>
      <c r="D16" s="5" t="s">
        <v>37</v>
      </c>
      <c r="E16" s="8" t="s">
        <v>129</v>
      </c>
      <c r="F16" s="8" t="s">
        <v>38</v>
      </c>
      <c r="G16" s="8" t="s">
        <v>105</v>
      </c>
      <c r="H16" s="25">
        <v>866.5</v>
      </c>
      <c r="I16" s="26">
        <v>901.18</v>
      </c>
      <c r="J16" s="26">
        <v>849.41</v>
      </c>
      <c r="K16" s="26">
        <v>900.68</v>
      </c>
      <c r="L16" s="26">
        <v>0.3</v>
      </c>
      <c r="M16" s="17"/>
      <c r="N16" s="16" t="s">
        <v>108</v>
      </c>
      <c r="O16" s="18" t="s">
        <v>32</v>
      </c>
      <c r="P16" s="18" t="s">
        <v>133</v>
      </c>
      <c r="Q16" s="30"/>
      <c r="R16" s="27"/>
      <c r="S16" s="27">
        <v>7.64</v>
      </c>
      <c r="T16" s="27">
        <f>IF(S16="","",SUM($S$5:S16))</f>
        <v>20.28</v>
      </c>
      <c r="U16" s="27">
        <f>IF(T16="","",MAX(0,MAX($T$5:T16)))</f>
        <v>20.28</v>
      </c>
      <c r="V16" s="27">
        <f>IF(T16="","",T16-U16)</f>
        <v>0</v>
      </c>
    </row>
    <row r="17" spans="1:22" x14ac:dyDescent="0.25">
      <c r="A17" s="7" t="s">
        <v>162</v>
      </c>
      <c r="B17" s="24">
        <v>46245.878077534726</v>
      </c>
      <c r="C17" s="24">
        <v>46246.584874374996</v>
      </c>
      <c r="D17" s="5" t="s">
        <v>136</v>
      </c>
      <c r="E17" s="8" t="s">
        <v>129</v>
      </c>
      <c r="F17" s="8" t="s">
        <v>38</v>
      </c>
      <c r="G17" s="8" t="s">
        <v>105</v>
      </c>
      <c r="H17" s="25">
        <v>502.25</v>
      </c>
      <c r="I17" s="26">
        <v>492.17</v>
      </c>
      <c r="J17" s="26">
        <v>492.21</v>
      </c>
      <c r="K17" s="26">
        <v>522.32000000000005</v>
      </c>
      <c r="L17" s="26">
        <v>0.32</v>
      </c>
      <c r="M17" s="17"/>
      <c r="N17" s="16" t="s">
        <v>108</v>
      </c>
      <c r="O17" s="18" t="s">
        <v>31</v>
      </c>
      <c r="P17" s="18" t="s">
        <v>133</v>
      </c>
      <c r="Q17" s="30"/>
      <c r="R17" s="27"/>
      <c r="S17" s="27">
        <v>-2.4</v>
      </c>
      <c r="T17" s="27">
        <f>IF(S17="","",SUM($S$5:S17))</f>
        <v>17.880000000000003</v>
      </c>
      <c r="U17" s="27">
        <f>IF(T17="","",MAX(0,MAX($T$5:T17)))</f>
        <v>20.28</v>
      </c>
      <c r="V17" s="27">
        <f>IF(T17="","",T17-U17)</f>
        <v>-2.3999999999999986</v>
      </c>
    </row>
    <row r="18" spans="1:22" x14ac:dyDescent="0.25">
      <c r="A18" s="7" t="s">
        <v>161</v>
      </c>
      <c r="B18" s="24">
        <v>46246.396024733796</v>
      </c>
      <c r="C18" s="24">
        <v>46246.649064293983</v>
      </c>
      <c r="D18" s="5" t="s">
        <v>145</v>
      </c>
      <c r="E18" s="8" t="s">
        <v>129</v>
      </c>
      <c r="F18" s="8" t="s">
        <v>38</v>
      </c>
      <c r="G18" s="8" t="s">
        <v>105</v>
      </c>
      <c r="H18" s="25">
        <v>219.72</v>
      </c>
      <c r="I18" s="26">
        <v>223.38</v>
      </c>
      <c r="J18" s="26">
        <v>215.33</v>
      </c>
      <c r="K18" s="26">
        <v>228.5</v>
      </c>
      <c r="L18" s="26">
        <v>3.1</v>
      </c>
      <c r="M18" s="17"/>
      <c r="N18" s="16" t="s">
        <v>108</v>
      </c>
      <c r="O18" s="18" t="s">
        <v>132</v>
      </c>
      <c r="P18" s="18" t="s">
        <v>133</v>
      </c>
      <c r="Q18" s="30"/>
      <c r="R18" s="27"/>
      <c r="S18" s="27">
        <v>8.34</v>
      </c>
      <c r="T18" s="27">
        <f>IF(S18="","",SUM($S$5:S18))</f>
        <v>26.220000000000002</v>
      </c>
      <c r="U18" s="27">
        <f>IF(T18="","",MAX(0,MAX($T$5:T18)))</f>
        <v>26.220000000000002</v>
      </c>
      <c r="V18" s="27">
        <f>IF(T18="","",T18-U18)</f>
        <v>0</v>
      </c>
    </row>
    <row r="19" spans="1:22" x14ac:dyDescent="0.25">
      <c r="A19" s="7" t="s">
        <v>160</v>
      </c>
      <c r="B19" s="24">
        <v>46246.524338668984</v>
      </c>
      <c r="C19" s="24">
        <v>46246.649064293983</v>
      </c>
      <c r="D19" s="5" t="s">
        <v>145</v>
      </c>
      <c r="E19" s="8" t="s">
        <v>129</v>
      </c>
      <c r="F19" s="8" t="s">
        <v>38</v>
      </c>
      <c r="G19" s="8" t="s">
        <v>105</v>
      </c>
      <c r="H19" s="25">
        <v>220.1</v>
      </c>
      <c r="I19" s="26">
        <v>223.38</v>
      </c>
      <c r="J19" s="26">
        <v>215.69</v>
      </c>
      <c r="K19" s="26">
        <v>228.89</v>
      </c>
      <c r="L19" s="26">
        <v>3.2</v>
      </c>
      <c r="M19" s="17"/>
      <c r="N19" s="16" t="s">
        <v>108</v>
      </c>
      <c r="O19" s="18" t="s">
        <v>132</v>
      </c>
      <c r="P19" s="18" t="s">
        <v>133</v>
      </c>
      <c r="Q19" s="30"/>
      <c r="R19" s="27"/>
      <c r="S19" s="27">
        <v>7.72</v>
      </c>
      <c r="T19" s="27">
        <f>IF(S19="","",SUM($S$5:S19))</f>
        <v>33.940000000000005</v>
      </c>
      <c r="U19" s="27">
        <f>IF(T19="","",MAX(0,MAX($T$5:T19)))</f>
        <v>33.940000000000005</v>
      </c>
      <c r="V19" s="27">
        <f>IF(T19="","",T19-U19)</f>
        <v>0</v>
      </c>
    </row>
    <row r="20" spans="1:22" x14ac:dyDescent="0.25">
      <c r="A20" s="7" t="s">
        <v>159</v>
      </c>
      <c r="B20" s="24">
        <v>46246.531361585643</v>
      </c>
      <c r="C20" s="24">
        <v>46246.649064305559</v>
      </c>
      <c r="D20" s="5" t="s">
        <v>145</v>
      </c>
      <c r="E20" s="8" t="s">
        <v>129</v>
      </c>
      <c r="F20" s="8" t="s">
        <v>38</v>
      </c>
      <c r="G20" s="8" t="s">
        <v>105</v>
      </c>
      <c r="H20" s="25">
        <v>220.53</v>
      </c>
      <c r="I20" s="26">
        <v>223.38</v>
      </c>
      <c r="J20" s="26">
        <v>216.12</v>
      </c>
      <c r="K20" s="26">
        <v>229.36</v>
      </c>
      <c r="L20" s="26">
        <v>2</v>
      </c>
      <c r="M20" s="17"/>
      <c r="N20" s="16" t="s">
        <v>108</v>
      </c>
      <c r="O20" s="18" t="s">
        <v>132</v>
      </c>
      <c r="P20" s="18" t="s">
        <v>133</v>
      </c>
      <c r="Q20" s="30"/>
      <c r="R20" s="27"/>
      <c r="S20" s="27">
        <v>4.1900000000000004</v>
      </c>
      <c r="T20" s="27">
        <f>IF(S20="","",SUM($S$5:S20))</f>
        <v>38.130000000000003</v>
      </c>
      <c r="U20" s="27">
        <f>IF(T20="","",MAX(0,MAX($T$5:T20)))</f>
        <v>38.130000000000003</v>
      </c>
      <c r="V20" s="27">
        <f>IF(T20="","",T20-U20)</f>
        <v>0</v>
      </c>
    </row>
    <row r="21" spans="1:22" x14ac:dyDescent="0.25">
      <c r="A21" s="7" t="s">
        <v>206</v>
      </c>
      <c r="B21" s="24"/>
      <c r="C21" s="24">
        <v>46246.561113136573</v>
      </c>
      <c r="D21" s="5" t="s">
        <v>37</v>
      </c>
      <c r="E21" s="8" t="s">
        <v>129</v>
      </c>
      <c r="F21" s="8" t="s">
        <v>38</v>
      </c>
      <c r="G21" s="8" t="s">
        <v>105</v>
      </c>
      <c r="H21" s="25"/>
      <c r="I21" s="26">
        <v>910.73</v>
      </c>
      <c r="J21" s="26"/>
      <c r="K21" s="26">
        <v>910</v>
      </c>
      <c r="L21" s="26">
        <v>1.1499999999999999</v>
      </c>
      <c r="M21" s="17"/>
      <c r="N21" s="16"/>
      <c r="O21" s="18" t="s">
        <v>32</v>
      </c>
      <c r="P21" s="18" t="s">
        <v>133</v>
      </c>
      <c r="Q21" s="30"/>
      <c r="R21" s="27"/>
      <c r="S21" s="27">
        <v>22.29</v>
      </c>
      <c r="T21" s="27">
        <f>IF(S21="","",SUM($S$5:S21))</f>
        <v>60.42</v>
      </c>
      <c r="U21" s="27">
        <f>IF(T21="","",MAX(0,MAX($T$5:T21)))</f>
        <v>60.42</v>
      </c>
      <c r="V21" s="27">
        <f>IF(T21="","",T21-U21)</f>
        <v>0</v>
      </c>
    </row>
    <row r="22" spans="1:22" x14ac:dyDescent="0.25">
      <c r="A22" s="7" t="s">
        <v>164</v>
      </c>
      <c r="B22" s="24">
        <v>46246.56257130787</v>
      </c>
      <c r="C22" s="24">
        <v>46246.578073263889</v>
      </c>
      <c r="D22" s="5" t="s">
        <v>150</v>
      </c>
      <c r="E22" s="8" t="s">
        <v>129</v>
      </c>
      <c r="F22" s="8" t="s">
        <v>38</v>
      </c>
      <c r="G22" s="8" t="s">
        <v>105</v>
      </c>
      <c r="H22" s="25">
        <v>173.73</v>
      </c>
      <c r="I22" s="26">
        <v>169.87</v>
      </c>
      <c r="J22" s="26">
        <v>169.89</v>
      </c>
      <c r="K22" s="26">
        <v>180.28</v>
      </c>
      <c r="L22" s="26">
        <v>4</v>
      </c>
      <c r="M22" s="17"/>
      <c r="N22" s="16" t="s">
        <v>108</v>
      </c>
      <c r="O22" s="18" t="s">
        <v>31</v>
      </c>
      <c r="P22" s="18" t="s">
        <v>133</v>
      </c>
      <c r="Q22" s="30"/>
      <c r="R22" s="27"/>
      <c r="S22" s="27">
        <v>-11.49</v>
      </c>
      <c r="T22" s="27">
        <f>IF(S22="","",SUM($S$5:S22))</f>
        <v>48.93</v>
      </c>
      <c r="U22" s="27">
        <f>IF(T22="","",MAX(0,MAX($T$5:T22)))</f>
        <v>60.42</v>
      </c>
      <c r="V22" s="27">
        <f>IF(T22="","",T22-U22)</f>
        <v>-11.490000000000002</v>
      </c>
    </row>
    <row r="23" spans="1:22" x14ac:dyDescent="0.25">
      <c r="A23" s="7" t="s">
        <v>158</v>
      </c>
      <c r="B23" s="24">
        <v>46246.573039317125</v>
      </c>
      <c r="C23" s="24">
        <v>46246.649375057867</v>
      </c>
      <c r="D23" s="5" t="s">
        <v>37</v>
      </c>
      <c r="E23" s="8" t="s">
        <v>129</v>
      </c>
      <c r="F23" s="8" t="s">
        <v>38</v>
      </c>
      <c r="G23" s="8" t="s">
        <v>105</v>
      </c>
      <c r="H23" s="25">
        <v>916.5</v>
      </c>
      <c r="I23" s="26">
        <v>923.88</v>
      </c>
      <c r="J23" s="26">
        <v>898.09</v>
      </c>
      <c r="K23" s="26">
        <v>953.32</v>
      </c>
      <c r="L23" s="26">
        <v>0.65</v>
      </c>
      <c r="M23" s="17"/>
      <c r="N23" s="16" t="s">
        <v>108</v>
      </c>
      <c r="O23" s="18" t="s">
        <v>132</v>
      </c>
      <c r="P23" s="18" t="s">
        <v>133</v>
      </c>
      <c r="Q23" s="30"/>
      <c r="R23" s="27"/>
      <c r="S23" s="27">
        <v>3.53</v>
      </c>
      <c r="T23" s="27">
        <f>IF(S23="","",SUM($S$5:S23))</f>
        <v>52.46</v>
      </c>
      <c r="U23" s="27">
        <f>IF(T23="","",MAX(0,MAX($T$5:T23)))</f>
        <v>60.42</v>
      </c>
      <c r="V23" s="27">
        <f>IF(T23="","",T23-U23)</f>
        <v>-7.9600000000000009</v>
      </c>
    </row>
    <row r="24" spans="1:22" x14ac:dyDescent="0.25">
      <c r="A24" s="7" t="s">
        <v>156</v>
      </c>
      <c r="B24" s="24">
        <v>46246.667747037034</v>
      </c>
      <c r="C24" s="24">
        <v>46247.017419548611</v>
      </c>
      <c r="D24" s="5" t="s">
        <v>107</v>
      </c>
      <c r="E24" s="8" t="s">
        <v>129</v>
      </c>
      <c r="F24" s="8" t="s">
        <v>38</v>
      </c>
      <c r="G24" s="8" t="s">
        <v>105</v>
      </c>
      <c r="H24" s="25">
        <v>4424.96</v>
      </c>
      <c r="I24" s="26">
        <v>4433.22</v>
      </c>
      <c r="J24" s="26"/>
      <c r="K24" s="26">
        <v>4433.8100000000004</v>
      </c>
      <c r="L24" s="26">
        <v>3.8</v>
      </c>
      <c r="M24" s="17"/>
      <c r="N24" s="16" t="s">
        <v>108</v>
      </c>
      <c r="O24" s="18" t="s">
        <v>31</v>
      </c>
      <c r="P24" s="18" t="s">
        <v>133</v>
      </c>
      <c r="Q24" s="30"/>
      <c r="R24" s="27"/>
      <c r="S24" s="27">
        <v>23.09</v>
      </c>
      <c r="T24" s="27">
        <f>IF(S24="","",SUM($S$5:S24))</f>
        <v>75.55</v>
      </c>
      <c r="U24" s="27">
        <f>IF(T24="","",MAX(0,MAX($T$5:T24)))</f>
        <v>75.55</v>
      </c>
      <c r="V24" s="27">
        <f>IF(T24="","",T24-U24)</f>
        <v>0</v>
      </c>
    </row>
    <row r="25" spans="1:22" x14ac:dyDescent="0.25">
      <c r="A25" s="7" t="s">
        <v>155</v>
      </c>
      <c r="B25" s="24">
        <v>46247.018141631939</v>
      </c>
      <c r="C25" s="24">
        <v>46247.022170706019</v>
      </c>
      <c r="D25" s="5" t="s">
        <v>107</v>
      </c>
      <c r="E25" s="8" t="s">
        <v>129</v>
      </c>
      <c r="F25" s="8" t="s">
        <v>39</v>
      </c>
      <c r="G25" s="8" t="s">
        <v>105</v>
      </c>
      <c r="H25" s="25">
        <v>4431.83</v>
      </c>
      <c r="I25" s="26">
        <v>4427.55</v>
      </c>
      <c r="J25" s="26"/>
      <c r="K25" s="26"/>
      <c r="L25" s="26">
        <v>4.7</v>
      </c>
      <c r="M25" s="17"/>
      <c r="N25" s="16" t="s">
        <v>108</v>
      </c>
      <c r="O25" s="18" t="s">
        <v>31</v>
      </c>
      <c r="P25" s="18" t="s">
        <v>133</v>
      </c>
      <c r="Q25" s="30"/>
      <c r="R25" s="27"/>
      <c r="S25" s="27">
        <v>14.8</v>
      </c>
      <c r="T25" s="27">
        <f>IF(S25="","",SUM($S$5:S25))</f>
        <v>90.35</v>
      </c>
      <c r="U25" s="27">
        <f>IF(T25="","",MAX(0,MAX($T$5:T25)))</f>
        <v>90.35</v>
      </c>
      <c r="V25" s="27">
        <f>IF(T25="","",T25-U25)</f>
        <v>0</v>
      </c>
    </row>
    <row r="26" spans="1:22" x14ac:dyDescent="0.25">
      <c r="A26" s="7" t="s">
        <v>154</v>
      </c>
      <c r="B26" s="24">
        <v>46247.024765706017</v>
      </c>
      <c r="C26" s="24">
        <v>46247.036773599539</v>
      </c>
      <c r="D26" s="5" t="s">
        <v>107</v>
      </c>
      <c r="E26" s="8" t="s">
        <v>129</v>
      </c>
      <c r="F26" s="8" t="s">
        <v>39</v>
      </c>
      <c r="G26" s="8" t="s">
        <v>105</v>
      </c>
      <c r="H26" s="25">
        <v>4442.03</v>
      </c>
      <c r="I26" s="26">
        <v>4431.0600000000004</v>
      </c>
      <c r="J26" s="26"/>
      <c r="K26" s="26"/>
      <c r="L26" s="26">
        <v>4.9000000000000004</v>
      </c>
      <c r="M26" s="17"/>
      <c r="N26" s="16" t="s">
        <v>108</v>
      </c>
      <c r="O26" s="18" t="s">
        <v>132</v>
      </c>
      <c r="P26" s="18" t="s">
        <v>133</v>
      </c>
      <c r="Q26" s="30"/>
      <c r="R26" s="27"/>
      <c r="S26" s="27">
        <v>39.54</v>
      </c>
      <c r="T26" s="27">
        <f>IF(S26="","",SUM($S$5:S26))</f>
        <v>129.88999999999999</v>
      </c>
      <c r="U26" s="27">
        <f>IF(T26="","",MAX(0,MAX($T$5:T26)))</f>
        <v>129.88999999999999</v>
      </c>
      <c r="V26" s="27">
        <f>IF(T26="","",T26-U26)</f>
        <v>0</v>
      </c>
    </row>
    <row r="27" spans="1:22" x14ac:dyDescent="0.25">
      <c r="A27" s="7" t="s">
        <v>153</v>
      </c>
      <c r="B27" s="24">
        <v>46247.343873298611</v>
      </c>
      <c r="C27" s="24">
        <v>46247.348071689819</v>
      </c>
      <c r="D27" s="5" t="s">
        <v>150</v>
      </c>
      <c r="E27" s="8" t="s">
        <v>129</v>
      </c>
      <c r="F27" s="8" t="s">
        <v>38</v>
      </c>
      <c r="G27" s="8" t="s">
        <v>105</v>
      </c>
      <c r="H27" s="25">
        <v>172.3</v>
      </c>
      <c r="I27" s="26">
        <v>171.35</v>
      </c>
      <c r="J27" s="26">
        <v>171.69</v>
      </c>
      <c r="K27" s="26">
        <v>173.52</v>
      </c>
      <c r="L27" s="26">
        <v>12.3</v>
      </c>
      <c r="M27" s="17"/>
      <c r="N27" s="16" t="s">
        <v>108</v>
      </c>
      <c r="O27" s="18" t="s">
        <v>31</v>
      </c>
      <c r="P27" s="18" t="s">
        <v>133</v>
      </c>
      <c r="Q27" s="30"/>
      <c r="R27" s="27"/>
      <c r="S27" s="27">
        <v>-8.73</v>
      </c>
      <c r="T27" s="27">
        <f>IF(S27="","",SUM($S$5:S27))</f>
        <v>121.15999999999998</v>
      </c>
      <c r="U27" s="27">
        <f>IF(T27="","",MAX(0,MAX($T$5:T27)))</f>
        <v>129.88999999999999</v>
      </c>
      <c r="V27" s="27">
        <f>IF(T27="","",T27-U27)</f>
        <v>-8.730000000000004</v>
      </c>
    </row>
    <row r="28" spans="1:22" x14ac:dyDescent="0.25">
      <c r="A28" s="7" t="s">
        <v>152</v>
      </c>
      <c r="B28" s="24">
        <v>46247.413234340274</v>
      </c>
      <c r="C28" s="24">
        <v>46247.460487893521</v>
      </c>
      <c r="D28" s="5" t="s">
        <v>37</v>
      </c>
      <c r="E28" s="8" t="s">
        <v>129</v>
      </c>
      <c r="F28" s="8" t="s">
        <v>38</v>
      </c>
      <c r="G28" s="8" t="s">
        <v>105</v>
      </c>
      <c r="H28" s="25">
        <v>909.05</v>
      </c>
      <c r="I28" s="26">
        <v>913.66</v>
      </c>
      <c r="J28" s="26">
        <v>905.22</v>
      </c>
      <c r="K28" s="26">
        <v>913.6</v>
      </c>
      <c r="L28" s="26">
        <v>2.31</v>
      </c>
      <c r="M28" s="17"/>
      <c r="N28" s="16" t="s">
        <v>108</v>
      </c>
      <c r="O28" s="18" t="s">
        <v>32</v>
      </c>
      <c r="P28" s="18" t="s">
        <v>133</v>
      </c>
      <c r="Q28" s="30"/>
      <c r="R28" s="27"/>
      <c r="S28" s="27">
        <v>7.84</v>
      </c>
      <c r="T28" s="27">
        <f>IF(S28="","",SUM($S$5:S28))</f>
        <v>128.99999999999997</v>
      </c>
      <c r="U28" s="27">
        <f>IF(T28="","",MAX(0,MAX($T$5:T28)))</f>
        <v>129.88999999999999</v>
      </c>
      <c r="V28" s="27">
        <f>IF(T28="","",T28-U28)</f>
        <v>-0.89000000000001478</v>
      </c>
    </row>
    <row r="29" spans="1:22" x14ac:dyDescent="0.25">
      <c r="A29" s="7" t="s">
        <v>148</v>
      </c>
      <c r="B29" s="24">
        <v>46247.468851817132</v>
      </c>
      <c r="C29" s="24">
        <v>46247.51082314815</v>
      </c>
      <c r="D29" s="5" t="s">
        <v>37</v>
      </c>
      <c r="E29" s="8" t="s">
        <v>129</v>
      </c>
      <c r="F29" s="8" t="s">
        <v>38</v>
      </c>
      <c r="G29" s="8" t="s">
        <v>105</v>
      </c>
      <c r="H29" s="25">
        <v>914.04</v>
      </c>
      <c r="I29" s="26">
        <v>905.17</v>
      </c>
      <c r="J29" s="26">
        <v>905.2</v>
      </c>
      <c r="K29" s="26">
        <v>921.7</v>
      </c>
      <c r="L29" s="26">
        <v>2.3199999999999998</v>
      </c>
      <c r="M29" s="17"/>
      <c r="N29" s="16" t="s">
        <v>108</v>
      </c>
      <c r="O29" s="18" t="s">
        <v>31</v>
      </c>
      <c r="P29" s="18" t="s">
        <v>133</v>
      </c>
      <c r="Q29" s="30"/>
      <c r="R29" s="27"/>
      <c r="S29" s="27">
        <v>-15.36</v>
      </c>
      <c r="T29" s="27">
        <f>IF(S29="","",SUM($S$5:S29))</f>
        <v>113.63999999999997</v>
      </c>
      <c r="U29" s="27">
        <f>IF(T29="","",MAX(0,MAX($T$5:T29)))</f>
        <v>129.88999999999999</v>
      </c>
      <c r="V29" s="27">
        <f>IF(T29="","",T29-U29)</f>
        <v>-16.250000000000014</v>
      </c>
    </row>
    <row r="30" spans="1:22" x14ac:dyDescent="0.25">
      <c r="A30" s="7" t="s">
        <v>151</v>
      </c>
      <c r="B30" s="24">
        <v>46247.482705625</v>
      </c>
      <c r="C30" s="24">
        <v>46247.483814699073</v>
      </c>
      <c r="D30" s="5" t="s">
        <v>136</v>
      </c>
      <c r="E30" s="8" t="s">
        <v>129</v>
      </c>
      <c r="F30" s="8" t="s">
        <v>38</v>
      </c>
      <c r="G30" s="8" t="s">
        <v>105</v>
      </c>
      <c r="H30" s="25">
        <v>494.05</v>
      </c>
      <c r="I30" s="26">
        <v>492.95</v>
      </c>
      <c r="J30" s="26">
        <v>493.07</v>
      </c>
      <c r="K30" s="26">
        <v>495.38</v>
      </c>
      <c r="L30" s="26">
        <v>4.25</v>
      </c>
      <c r="M30" s="17"/>
      <c r="N30" s="16" t="s">
        <v>108</v>
      </c>
      <c r="O30" s="18" t="s">
        <v>31</v>
      </c>
      <c r="P30" s="18" t="s">
        <v>133</v>
      </c>
      <c r="Q30" s="30"/>
      <c r="R30" s="27"/>
      <c r="S30" s="27">
        <v>-3.49</v>
      </c>
      <c r="T30" s="27">
        <f>IF(S30="","",SUM($S$5:S30))</f>
        <v>110.14999999999998</v>
      </c>
      <c r="U30" s="27">
        <f>IF(T30="","",MAX(0,MAX($T$5:T30)))</f>
        <v>129.88999999999999</v>
      </c>
      <c r="V30" s="27">
        <f>IF(T30="","",T30-U30)</f>
        <v>-19.740000000000009</v>
      </c>
    </row>
    <row r="31" spans="1:22" x14ac:dyDescent="0.25">
      <c r="A31" s="7" t="s">
        <v>149</v>
      </c>
      <c r="B31" s="24">
        <v>46247.500309467592</v>
      </c>
      <c r="C31" s="24">
        <v>46247.504149745371</v>
      </c>
      <c r="D31" s="5" t="s">
        <v>150</v>
      </c>
      <c r="E31" s="8" t="s">
        <v>129</v>
      </c>
      <c r="F31" s="8" t="s">
        <v>39</v>
      </c>
      <c r="G31" s="8" t="s">
        <v>105</v>
      </c>
      <c r="H31" s="25">
        <v>170.8</v>
      </c>
      <c r="I31" s="26">
        <v>171.37</v>
      </c>
      <c r="J31" s="26">
        <v>171.36</v>
      </c>
      <c r="K31" s="26">
        <v>169.76</v>
      </c>
      <c r="L31" s="26">
        <v>12.1</v>
      </c>
      <c r="M31" s="17"/>
      <c r="N31" s="16" t="s">
        <v>108</v>
      </c>
      <c r="O31" s="18" t="s">
        <v>31</v>
      </c>
      <c r="P31" s="18" t="s">
        <v>133</v>
      </c>
      <c r="Q31" s="30"/>
      <c r="R31" s="27"/>
      <c r="S31" s="27">
        <v>-5.15</v>
      </c>
      <c r="T31" s="27">
        <f>IF(S31="","",SUM($S$5:S31))</f>
        <v>104.99999999999997</v>
      </c>
      <c r="U31" s="27">
        <f>IF(T31="","",MAX(0,MAX($T$5:T31)))</f>
        <v>129.88999999999999</v>
      </c>
      <c r="V31" s="27">
        <f>IF(T31="","",T31-U31)</f>
        <v>-24.890000000000015</v>
      </c>
    </row>
    <row r="32" spans="1:22" x14ac:dyDescent="0.25">
      <c r="A32" s="7" t="s">
        <v>146</v>
      </c>
      <c r="B32" s="24">
        <v>46247.520945798606</v>
      </c>
      <c r="C32" s="24">
        <v>46247.562861527782</v>
      </c>
      <c r="D32" s="5" t="s">
        <v>37</v>
      </c>
      <c r="E32" s="8" t="s">
        <v>129</v>
      </c>
      <c r="F32" s="8" t="s">
        <v>38</v>
      </c>
      <c r="G32" s="8" t="s">
        <v>105</v>
      </c>
      <c r="H32" s="25">
        <v>910.3</v>
      </c>
      <c r="I32" s="26">
        <v>915.58</v>
      </c>
      <c r="J32" s="26">
        <v>903.93</v>
      </c>
      <c r="K32" s="26">
        <v>915.53</v>
      </c>
      <c r="L32" s="26">
        <v>2.2599999999999998</v>
      </c>
      <c r="M32" s="17"/>
      <c r="N32" s="16" t="s">
        <v>108</v>
      </c>
      <c r="O32" s="18" t="s">
        <v>32</v>
      </c>
      <c r="P32" s="18" t="s">
        <v>133</v>
      </c>
      <c r="Q32" s="30"/>
      <c r="R32" s="27"/>
      <c r="S32" s="27">
        <v>8.7799999999999994</v>
      </c>
      <c r="T32" s="27">
        <f>IF(S32="","",SUM($S$5:S32))</f>
        <v>113.77999999999997</v>
      </c>
      <c r="U32" s="27">
        <f>IF(T32="","",MAX(0,MAX($T$5:T32)))</f>
        <v>129.88999999999999</v>
      </c>
      <c r="V32" s="27">
        <f>IF(T32="","",T32-U32)</f>
        <v>-16.110000000000014</v>
      </c>
    </row>
    <row r="33" spans="1:22" x14ac:dyDescent="0.25">
      <c r="A33" s="7" t="s">
        <v>147</v>
      </c>
      <c r="B33" s="24">
        <v>46247.541936030088</v>
      </c>
      <c r="C33" s="24">
        <v>46247.544830914354</v>
      </c>
      <c r="D33" s="5" t="s">
        <v>145</v>
      </c>
      <c r="E33" s="8" t="s">
        <v>129</v>
      </c>
      <c r="F33" s="8" t="s">
        <v>38</v>
      </c>
      <c r="G33" s="8" t="s">
        <v>105</v>
      </c>
      <c r="H33" s="25">
        <v>224.11</v>
      </c>
      <c r="I33" s="26">
        <v>224.55</v>
      </c>
      <c r="J33" s="26">
        <v>223.31</v>
      </c>
      <c r="K33" s="26">
        <v>224.54</v>
      </c>
      <c r="L33" s="26">
        <v>9.1</v>
      </c>
      <c r="M33" s="17"/>
      <c r="N33" s="16" t="s">
        <v>108</v>
      </c>
      <c r="O33" s="18" t="s">
        <v>32</v>
      </c>
      <c r="P33" s="18" t="s">
        <v>133</v>
      </c>
      <c r="Q33" s="30"/>
      <c r="R33" s="27"/>
      <c r="S33" s="27">
        <v>2.94</v>
      </c>
      <c r="T33" s="27">
        <f>IF(S33="","",SUM($S$5:S33))</f>
        <v>116.71999999999997</v>
      </c>
      <c r="U33" s="27">
        <f>IF(T33="","",MAX(0,MAX($T$5:T33)))</f>
        <v>129.88999999999999</v>
      </c>
      <c r="V33" s="27">
        <f>IF(T33="","",T33-U33)</f>
        <v>-13.170000000000016</v>
      </c>
    </row>
    <row r="34" spans="1:22" x14ac:dyDescent="0.25">
      <c r="A34" s="7" t="s">
        <v>144</v>
      </c>
      <c r="B34" s="24">
        <v>46247.552180451385</v>
      </c>
      <c r="C34" s="24">
        <v>46247.564742916671</v>
      </c>
      <c r="D34" s="5" t="s">
        <v>145</v>
      </c>
      <c r="E34" s="8" t="s">
        <v>129</v>
      </c>
      <c r="F34" s="8" t="s">
        <v>38</v>
      </c>
      <c r="G34" s="8" t="s">
        <v>105</v>
      </c>
      <c r="H34" s="25">
        <v>224.69</v>
      </c>
      <c r="I34" s="26">
        <v>226.32</v>
      </c>
      <c r="J34" s="26">
        <v>223.95</v>
      </c>
      <c r="K34" s="26">
        <v>226.32</v>
      </c>
      <c r="L34" s="26">
        <v>9.1999999999999993</v>
      </c>
      <c r="M34" s="17"/>
      <c r="N34" s="16" t="s">
        <v>108</v>
      </c>
      <c r="O34" s="18" t="s">
        <v>32</v>
      </c>
      <c r="P34" s="18" t="s">
        <v>133</v>
      </c>
      <c r="Q34" s="30"/>
      <c r="R34" s="27"/>
      <c r="S34" s="27">
        <v>11.03</v>
      </c>
      <c r="T34" s="27">
        <f>IF(S34="","",SUM($S$5:S34))</f>
        <v>127.74999999999997</v>
      </c>
      <c r="U34" s="27">
        <f>IF(T34="","",MAX(0,MAX($T$5:T34)))</f>
        <v>129.88999999999999</v>
      </c>
      <c r="V34" s="27">
        <f>IF(T34="","",T34-U34)</f>
        <v>-2.1400000000000148</v>
      </c>
    </row>
    <row r="35" spans="1:22" x14ac:dyDescent="0.25">
      <c r="A35" s="7" t="s">
        <v>142</v>
      </c>
      <c r="B35" s="24">
        <v>46247.566097199073</v>
      </c>
      <c r="C35" s="24">
        <v>46247.642346562498</v>
      </c>
      <c r="D35" s="5" t="s">
        <v>136</v>
      </c>
      <c r="E35" s="8" t="s">
        <v>129</v>
      </c>
      <c r="F35" s="8" t="s">
        <v>38</v>
      </c>
      <c r="G35" s="8" t="s">
        <v>105</v>
      </c>
      <c r="H35" s="25">
        <v>497.38</v>
      </c>
      <c r="I35" s="26">
        <v>494.23</v>
      </c>
      <c r="J35" s="26">
        <v>494.23</v>
      </c>
      <c r="K35" s="26">
        <v>501.78</v>
      </c>
      <c r="L35" s="26">
        <v>4.26</v>
      </c>
      <c r="M35" s="17"/>
      <c r="N35" s="16" t="s">
        <v>108</v>
      </c>
      <c r="O35" s="18" t="s">
        <v>31</v>
      </c>
      <c r="P35" s="18" t="s">
        <v>133</v>
      </c>
      <c r="Q35" s="30"/>
      <c r="R35" s="27"/>
      <c r="S35" s="27">
        <v>-10.01</v>
      </c>
      <c r="T35" s="27">
        <f>IF(S35="","",SUM($S$5:S35))</f>
        <v>117.73999999999997</v>
      </c>
      <c r="U35" s="27">
        <f>IF(T35="","",MAX(0,MAX($T$5:T35)))</f>
        <v>129.88999999999999</v>
      </c>
      <c r="V35" s="27">
        <f>IF(T35="","",T35-U35)</f>
        <v>-12.15000000000002</v>
      </c>
    </row>
    <row r="36" spans="1:22" x14ac:dyDescent="0.25">
      <c r="A36" s="7" t="s">
        <v>143</v>
      </c>
      <c r="B36" s="24">
        <v>46247.583357754629</v>
      </c>
      <c r="C36" s="24">
        <v>46247.640776689819</v>
      </c>
      <c r="D36" s="5" t="s">
        <v>136</v>
      </c>
      <c r="E36" s="8" t="s">
        <v>129</v>
      </c>
      <c r="F36" s="8" t="s">
        <v>38</v>
      </c>
      <c r="G36" s="8" t="s">
        <v>105</v>
      </c>
      <c r="H36" s="25">
        <v>498.79</v>
      </c>
      <c r="I36" s="26">
        <v>494.65</v>
      </c>
      <c r="J36" s="26">
        <v>494.68</v>
      </c>
      <c r="K36" s="26">
        <v>506.15</v>
      </c>
      <c r="L36" s="26">
        <v>4.28</v>
      </c>
      <c r="M36" s="17"/>
      <c r="N36" s="16" t="s">
        <v>108</v>
      </c>
      <c r="O36" s="18" t="s">
        <v>31</v>
      </c>
      <c r="P36" s="18" t="s">
        <v>133</v>
      </c>
      <c r="Q36" s="30"/>
      <c r="R36" s="27"/>
      <c r="S36" s="27">
        <v>-13.22</v>
      </c>
      <c r="T36" s="27">
        <f>IF(S36="","",SUM($S$5:S36))</f>
        <v>104.51999999999997</v>
      </c>
      <c r="U36" s="27">
        <f>IF(T36="","",MAX(0,MAX($T$5:T36)))</f>
        <v>129.88999999999999</v>
      </c>
      <c r="V36" s="27">
        <f>IF(T36="","",T36-U36)</f>
        <v>-25.370000000000019</v>
      </c>
    </row>
    <row r="37" spans="1:22" x14ac:dyDescent="0.25">
      <c r="A37" s="7" t="s">
        <v>135</v>
      </c>
      <c r="B37" s="24">
        <v>46247.664698587963</v>
      </c>
      <c r="C37" s="24">
        <v>46247.765913402778</v>
      </c>
      <c r="D37" s="5" t="s">
        <v>136</v>
      </c>
      <c r="E37" s="8" t="s">
        <v>129</v>
      </c>
      <c r="F37" s="8" t="s">
        <v>38</v>
      </c>
      <c r="G37" s="8" t="s">
        <v>105</v>
      </c>
      <c r="H37" s="25">
        <v>495.17</v>
      </c>
      <c r="I37" s="26">
        <v>493.63</v>
      </c>
      <c r="J37" s="26"/>
      <c r="K37" s="26"/>
      <c r="L37" s="26">
        <v>11</v>
      </c>
      <c r="M37" s="17"/>
      <c r="N37" s="16" t="s">
        <v>108</v>
      </c>
      <c r="O37" s="18" t="s">
        <v>132</v>
      </c>
      <c r="P37" s="18" t="s">
        <v>133</v>
      </c>
      <c r="Q37" s="30"/>
      <c r="R37" s="27"/>
      <c r="S37" s="27">
        <v>-12.65</v>
      </c>
      <c r="T37" s="27">
        <f>IF(S37="","",SUM($S$5:S37))</f>
        <v>91.869999999999962</v>
      </c>
      <c r="U37" s="27">
        <f>IF(T37="","",MAX(0,MAX($T$5:T37)))</f>
        <v>129.88999999999999</v>
      </c>
      <c r="V37" s="27">
        <f>IF(T37="","",T37-U37)</f>
        <v>-38.020000000000024</v>
      </c>
    </row>
    <row r="38" spans="1:22" x14ac:dyDescent="0.25">
      <c r="A38" s="7" t="s">
        <v>141</v>
      </c>
      <c r="B38" s="24">
        <v>46247.723664467594</v>
      </c>
      <c r="C38" s="24">
        <v>46247.724871701386</v>
      </c>
      <c r="D38" s="5" t="s">
        <v>136</v>
      </c>
      <c r="E38" s="8" t="s">
        <v>129</v>
      </c>
      <c r="F38" s="8" t="s">
        <v>39</v>
      </c>
      <c r="G38" s="8" t="s">
        <v>105</v>
      </c>
      <c r="H38" s="25">
        <v>494.43</v>
      </c>
      <c r="I38" s="26">
        <v>494.3</v>
      </c>
      <c r="J38" s="26">
        <v>494.87</v>
      </c>
      <c r="K38" s="26">
        <v>494.31</v>
      </c>
      <c r="L38" s="26">
        <v>4.0999999999999996</v>
      </c>
      <c r="M38" s="17"/>
      <c r="N38" s="16" t="s">
        <v>108</v>
      </c>
      <c r="O38" s="18" t="s">
        <v>32</v>
      </c>
      <c r="P38" s="18" t="s">
        <v>133</v>
      </c>
      <c r="Q38" s="30"/>
      <c r="R38" s="27"/>
      <c r="S38" s="27">
        <v>0.39</v>
      </c>
      <c r="T38" s="27">
        <f>IF(S38="","",SUM($S$5:S38))</f>
        <v>92.259999999999962</v>
      </c>
      <c r="U38" s="27">
        <f>IF(T38="","",MAX(0,MAX($T$5:T38)))</f>
        <v>129.88999999999999</v>
      </c>
      <c r="V38" s="27">
        <f>IF(T38="","",T38-U38)</f>
        <v>-37.630000000000024</v>
      </c>
    </row>
    <row r="39" spans="1:22" x14ac:dyDescent="0.25">
      <c r="A39" s="7" t="s">
        <v>140</v>
      </c>
      <c r="B39" s="24">
        <v>46247.724332187499</v>
      </c>
      <c r="C39" s="24">
        <v>46247.725060567129</v>
      </c>
      <c r="D39" s="5" t="s">
        <v>136</v>
      </c>
      <c r="E39" s="8" t="s">
        <v>129</v>
      </c>
      <c r="F39" s="8" t="s">
        <v>39</v>
      </c>
      <c r="G39" s="8" t="s">
        <v>105</v>
      </c>
      <c r="H39" s="25">
        <v>494.45</v>
      </c>
      <c r="I39" s="26">
        <v>494.23</v>
      </c>
      <c r="J39" s="26">
        <v>494.79</v>
      </c>
      <c r="K39" s="26">
        <v>494.23</v>
      </c>
      <c r="L39" s="26">
        <v>4.0999999999999996</v>
      </c>
      <c r="M39" s="17"/>
      <c r="N39" s="16" t="s">
        <v>108</v>
      </c>
      <c r="O39" s="18" t="s">
        <v>32</v>
      </c>
      <c r="P39" s="18" t="s">
        <v>133</v>
      </c>
      <c r="Q39" s="30"/>
      <c r="R39" s="27"/>
      <c r="S39" s="27">
        <v>0.66</v>
      </c>
      <c r="T39" s="27">
        <f>IF(S39="","",SUM($S$5:S39))</f>
        <v>92.919999999999959</v>
      </c>
      <c r="U39" s="27">
        <f>IF(T39="","",MAX(0,MAX($T$5:T39)))</f>
        <v>129.88999999999999</v>
      </c>
      <c r="V39" s="27">
        <f>IF(T39="","",T39-U39)</f>
        <v>-36.970000000000027</v>
      </c>
    </row>
    <row r="40" spans="1:22" x14ac:dyDescent="0.25">
      <c r="A40" s="7" t="s">
        <v>139</v>
      </c>
      <c r="B40" s="24">
        <v>46247.725067847219</v>
      </c>
      <c r="C40" s="24">
        <v>46247.727486365737</v>
      </c>
      <c r="D40" s="5" t="s">
        <v>136</v>
      </c>
      <c r="E40" s="8" t="s">
        <v>129</v>
      </c>
      <c r="F40" s="8" t="s">
        <v>39</v>
      </c>
      <c r="G40" s="8" t="s">
        <v>105</v>
      </c>
      <c r="H40" s="25">
        <v>494.02</v>
      </c>
      <c r="I40" s="26">
        <v>494.51</v>
      </c>
      <c r="J40" s="26">
        <v>494.47</v>
      </c>
      <c r="K40" s="26">
        <v>493.84</v>
      </c>
      <c r="L40" s="26">
        <v>4.08</v>
      </c>
      <c r="M40" s="17"/>
      <c r="N40" s="16" t="s">
        <v>108</v>
      </c>
      <c r="O40" s="18" t="s">
        <v>31</v>
      </c>
      <c r="P40" s="18" t="s">
        <v>133</v>
      </c>
      <c r="Q40" s="30"/>
      <c r="R40" s="27"/>
      <c r="S40" s="27">
        <v>-1.49</v>
      </c>
      <c r="T40" s="27">
        <f>IF(S40="","",SUM($S$5:S40))</f>
        <v>91.429999999999964</v>
      </c>
      <c r="U40" s="27">
        <f>IF(T40="","",MAX(0,MAX($T$5:T40)))</f>
        <v>129.88999999999999</v>
      </c>
      <c r="V40" s="27">
        <f>IF(T40="","",T40-U40)</f>
        <v>-38.460000000000022</v>
      </c>
    </row>
    <row r="41" spans="1:22" x14ac:dyDescent="0.25">
      <c r="A41" s="7" t="s">
        <v>137</v>
      </c>
      <c r="B41" s="24">
        <v>46247.728506597225</v>
      </c>
      <c r="C41" s="24">
        <v>46247.731019710649</v>
      </c>
      <c r="D41" s="5" t="s">
        <v>136</v>
      </c>
      <c r="E41" s="8" t="s">
        <v>129</v>
      </c>
      <c r="F41" s="8" t="s">
        <v>39</v>
      </c>
      <c r="G41" s="8" t="s">
        <v>105</v>
      </c>
      <c r="H41" s="25">
        <v>494.34</v>
      </c>
      <c r="I41" s="26">
        <v>494.35</v>
      </c>
      <c r="J41" s="26">
        <v>494.65</v>
      </c>
      <c r="K41" s="26">
        <v>494.04</v>
      </c>
      <c r="L41" s="26">
        <v>4.09</v>
      </c>
      <c r="M41" s="17"/>
      <c r="N41" s="16" t="s">
        <v>108</v>
      </c>
      <c r="O41" s="18" t="s">
        <v>132</v>
      </c>
      <c r="P41" s="18" t="s">
        <v>133</v>
      </c>
      <c r="Q41" s="30"/>
      <c r="R41" s="27"/>
      <c r="S41" s="27">
        <v>-0.03</v>
      </c>
      <c r="T41" s="27">
        <f>IF(S41="","",SUM($S$5:S41))</f>
        <v>91.399999999999963</v>
      </c>
      <c r="U41" s="27">
        <f>IF(T41="","",MAX(0,MAX($T$5:T41)))</f>
        <v>129.88999999999999</v>
      </c>
      <c r="V41" s="27">
        <f>IF(T41="","",T41-U41)</f>
        <v>-38.490000000000023</v>
      </c>
    </row>
    <row r="42" spans="1:22" x14ac:dyDescent="0.25">
      <c r="A42" s="7" t="s">
        <v>138</v>
      </c>
      <c r="B42" s="24">
        <v>46247.730572349537</v>
      </c>
      <c r="C42" s="24">
        <v>46247.731019710649</v>
      </c>
      <c r="D42" s="5" t="s">
        <v>136</v>
      </c>
      <c r="E42" s="8" t="s">
        <v>129</v>
      </c>
      <c r="F42" s="8" t="s">
        <v>39</v>
      </c>
      <c r="G42" s="8" t="s">
        <v>105</v>
      </c>
      <c r="H42" s="25">
        <v>494.3</v>
      </c>
      <c r="I42" s="26">
        <v>494.35</v>
      </c>
      <c r="J42" s="26">
        <v>494.63</v>
      </c>
      <c r="K42" s="26">
        <v>494.07</v>
      </c>
      <c r="L42" s="26">
        <v>4.08</v>
      </c>
      <c r="M42" s="17"/>
      <c r="N42" s="16" t="s">
        <v>108</v>
      </c>
      <c r="O42" s="18" t="s">
        <v>132</v>
      </c>
      <c r="P42" s="18" t="s">
        <v>133</v>
      </c>
      <c r="Q42" s="30"/>
      <c r="R42" s="27"/>
      <c r="S42" s="27">
        <v>-0.15</v>
      </c>
      <c r="T42" s="27">
        <f>IF(S42="","",SUM($S$5:S42))</f>
        <v>91.249999999999957</v>
      </c>
      <c r="U42" s="27">
        <f>IF(T42="","",MAX(0,MAX($T$5:T42)))</f>
        <v>129.88999999999999</v>
      </c>
      <c r="V42" s="27">
        <f>IF(T42="","",T42-U42)</f>
        <v>-38.640000000000029</v>
      </c>
    </row>
    <row r="43" spans="1:22" x14ac:dyDescent="0.25">
      <c r="A43" s="7" t="s">
        <v>134</v>
      </c>
      <c r="B43" s="24">
        <v>46247.766599282404</v>
      </c>
      <c r="C43" s="24">
        <v>46247.829866631946</v>
      </c>
      <c r="D43" s="5" t="s">
        <v>37</v>
      </c>
      <c r="E43" s="8" t="s">
        <v>129</v>
      </c>
      <c r="F43" s="8" t="s">
        <v>39</v>
      </c>
      <c r="G43" s="8" t="s">
        <v>105</v>
      </c>
      <c r="H43" s="25">
        <v>966.55</v>
      </c>
      <c r="I43" s="26">
        <v>949.62</v>
      </c>
      <c r="J43" s="26"/>
      <c r="K43" s="26"/>
      <c r="L43" s="26">
        <v>4</v>
      </c>
      <c r="M43" s="17"/>
      <c r="N43" s="16" t="s">
        <v>106</v>
      </c>
      <c r="O43" s="18" t="s">
        <v>32</v>
      </c>
      <c r="P43" s="18" t="s">
        <v>133</v>
      </c>
      <c r="Q43" s="30"/>
      <c r="R43" s="27"/>
      <c r="S43" s="27">
        <v>49.86</v>
      </c>
      <c r="T43" s="27">
        <f>IF(S43="","",SUM($S$5:S43))</f>
        <v>141.10999999999996</v>
      </c>
      <c r="U43" s="27">
        <f>IF(T43="","",MAX(0,MAX($T$5:T43)))</f>
        <v>141.10999999999996</v>
      </c>
      <c r="V43" s="27">
        <f>IF(T43="","",T43-U43)</f>
        <v>0</v>
      </c>
    </row>
    <row r="44" spans="1:22" x14ac:dyDescent="0.25">
      <c r="A44" s="7" t="s">
        <v>131</v>
      </c>
      <c r="B44" s="24">
        <v>46247.843897175924</v>
      </c>
      <c r="C44" s="24">
        <v>46247.908600138893</v>
      </c>
      <c r="D44" s="5" t="s">
        <v>37</v>
      </c>
      <c r="E44" s="8" t="s">
        <v>129</v>
      </c>
      <c r="F44" s="8" t="s">
        <v>38</v>
      </c>
      <c r="G44" s="8" t="s">
        <v>105</v>
      </c>
      <c r="H44" s="25">
        <v>957.33</v>
      </c>
      <c r="I44" s="26">
        <v>961.14</v>
      </c>
      <c r="J44" s="26">
        <v>950.29</v>
      </c>
      <c r="K44" s="26">
        <v>966.86</v>
      </c>
      <c r="L44" s="26">
        <v>2.25</v>
      </c>
      <c r="M44" s="17"/>
      <c r="N44" s="16" t="s">
        <v>108</v>
      </c>
      <c r="O44" s="18" t="s">
        <v>132</v>
      </c>
      <c r="P44" s="18" t="s">
        <v>133</v>
      </c>
      <c r="Q44" s="30"/>
      <c r="R44" s="27"/>
      <c r="S44" s="27">
        <v>6.31</v>
      </c>
      <c r="T44" s="27">
        <f>IF(S44="","",SUM($S$5:S44))</f>
        <v>147.41999999999996</v>
      </c>
      <c r="U44" s="27">
        <f>IF(T44="","",MAX(0,MAX($T$5:T44)))</f>
        <v>147.41999999999996</v>
      </c>
      <c r="V44" s="27">
        <f>IF(T44="","",T44-U44)</f>
        <v>0</v>
      </c>
    </row>
    <row r="45" spans="1:22" x14ac:dyDescent="0.25">
      <c r="A45" s="7" t="s">
        <v>198</v>
      </c>
      <c r="B45" s="24">
        <v>46247.943435185181</v>
      </c>
      <c r="C45" s="24">
        <v>46247.944994791666</v>
      </c>
      <c r="D45" s="5" t="s">
        <v>107</v>
      </c>
      <c r="E45" s="8" t="s">
        <v>129</v>
      </c>
      <c r="F45" s="8" t="s">
        <v>38</v>
      </c>
      <c r="G45" s="8" t="s">
        <v>105</v>
      </c>
      <c r="H45" s="25">
        <v>4360.9799999999996</v>
      </c>
      <c r="I45" s="26">
        <v>4361.51</v>
      </c>
      <c r="J45" s="26"/>
      <c r="K45" s="26"/>
      <c r="L45" s="26">
        <v>4.5</v>
      </c>
      <c r="M45" s="17"/>
      <c r="N45" s="16"/>
      <c r="O45" s="18" t="s">
        <v>31</v>
      </c>
      <c r="P45" s="18" t="s">
        <v>133</v>
      </c>
      <c r="Q45" s="30"/>
      <c r="R45" s="27"/>
      <c r="S45" s="27">
        <v>1.76</v>
      </c>
      <c r="T45" s="27">
        <f>IF(S45="","",SUM($S$5:S45))</f>
        <v>149.17999999999995</v>
      </c>
      <c r="U45" s="27">
        <f>IF(T45="","",MAX(0,MAX($T$5:T45)))</f>
        <v>149.17999999999995</v>
      </c>
      <c r="V45" s="27">
        <f>IF(T45="","",T45-U45)</f>
        <v>0</v>
      </c>
    </row>
    <row r="46" spans="1:22" x14ac:dyDescent="0.25">
      <c r="A46" s="7" t="s">
        <v>191</v>
      </c>
      <c r="B46" s="24">
        <v>46247.945559097221</v>
      </c>
      <c r="C46" s="24">
        <v>46248.688509097221</v>
      </c>
      <c r="D46" s="5" t="s">
        <v>37</v>
      </c>
      <c r="E46" s="8" t="s">
        <v>129</v>
      </c>
      <c r="F46" s="8" t="s">
        <v>39</v>
      </c>
      <c r="G46" s="8" t="s">
        <v>105</v>
      </c>
      <c r="H46" s="25">
        <v>961.65</v>
      </c>
      <c r="I46" s="26">
        <v>963.02</v>
      </c>
      <c r="J46" s="26"/>
      <c r="K46" s="26">
        <v>950</v>
      </c>
      <c r="L46" s="26">
        <v>6</v>
      </c>
      <c r="M46" s="17"/>
      <c r="N46" s="16"/>
      <c r="O46" s="18" t="s">
        <v>132</v>
      </c>
      <c r="P46" s="18" t="s">
        <v>133</v>
      </c>
      <c r="Q46" s="30"/>
      <c r="R46" s="27"/>
      <c r="S46" s="27">
        <v>-6.11</v>
      </c>
      <c r="T46" s="27">
        <f>IF(S46="","",SUM($S$5:S46))</f>
        <v>143.06999999999994</v>
      </c>
      <c r="U46" s="27">
        <f>IF(T46="","",MAX(0,MAX($T$5:T46)))</f>
        <v>149.17999999999995</v>
      </c>
      <c r="V46" s="27">
        <f>IF(T46="","",T46-U46)</f>
        <v>-6.1100000000000136</v>
      </c>
    </row>
    <row r="47" spans="1:22" x14ac:dyDescent="0.25">
      <c r="A47" s="7" t="s">
        <v>195</v>
      </c>
      <c r="B47" s="24">
        <v>46247.968784351848</v>
      </c>
      <c r="C47" s="24">
        <v>46248.410362337963</v>
      </c>
      <c r="D47" s="5" t="s">
        <v>37</v>
      </c>
      <c r="E47" s="8" t="s">
        <v>129</v>
      </c>
      <c r="F47" s="8" t="s">
        <v>38</v>
      </c>
      <c r="G47" s="8" t="s">
        <v>105</v>
      </c>
      <c r="H47" s="25">
        <v>964.05</v>
      </c>
      <c r="I47" s="26">
        <v>970.7</v>
      </c>
      <c r="J47" s="26">
        <v>957.64</v>
      </c>
      <c r="K47" s="26">
        <v>970.65</v>
      </c>
      <c r="L47" s="26">
        <v>2.19</v>
      </c>
      <c r="M47" s="17"/>
      <c r="N47" s="16"/>
      <c r="O47" s="18" t="s">
        <v>32</v>
      </c>
      <c r="P47" s="18" t="s">
        <v>133</v>
      </c>
      <c r="Q47" s="30"/>
      <c r="R47" s="27"/>
      <c r="S47" s="27">
        <v>10.69</v>
      </c>
      <c r="T47" s="27">
        <f>IF(S47="","",SUM($S$5:S47))</f>
        <v>153.75999999999993</v>
      </c>
      <c r="U47" s="27">
        <f>IF(T47="","",MAX(0,MAX($T$5:T47)))</f>
        <v>153.75999999999993</v>
      </c>
      <c r="V47" s="27">
        <f>IF(T47="","",T47-U47)</f>
        <v>0</v>
      </c>
    </row>
    <row r="48" spans="1:22" x14ac:dyDescent="0.25">
      <c r="A48" s="7" t="s">
        <v>197</v>
      </c>
      <c r="B48" s="24">
        <v>46247.968786597223</v>
      </c>
      <c r="C48" s="24">
        <v>46247.98143299768</v>
      </c>
      <c r="D48" s="5" t="s">
        <v>37</v>
      </c>
      <c r="E48" s="8" t="s">
        <v>129</v>
      </c>
      <c r="F48" s="8" t="s">
        <v>38</v>
      </c>
      <c r="G48" s="8" t="s">
        <v>105</v>
      </c>
      <c r="H48" s="25">
        <v>964.05</v>
      </c>
      <c r="I48" s="26">
        <v>961.25</v>
      </c>
      <c r="J48" s="26">
        <v>961.47</v>
      </c>
      <c r="K48" s="26">
        <v>967.37</v>
      </c>
      <c r="L48" s="26">
        <v>2.19</v>
      </c>
      <c r="M48" s="17"/>
      <c r="N48" s="16"/>
      <c r="O48" s="18" t="s">
        <v>31</v>
      </c>
      <c r="P48" s="18" t="s">
        <v>133</v>
      </c>
      <c r="Q48" s="30"/>
      <c r="R48" s="27"/>
      <c r="S48" s="27">
        <v>-4.58</v>
      </c>
      <c r="T48" s="27">
        <f>IF(S48="","",SUM($S$5:S48))</f>
        <v>149.17999999999992</v>
      </c>
      <c r="U48" s="27">
        <f>IF(T48="","",MAX(0,MAX($T$5:T48)))</f>
        <v>153.75999999999993</v>
      </c>
      <c r="V48" s="27">
        <f>IF(T48="","",T48-U48)</f>
        <v>-4.5800000000000125</v>
      </c>
    </row>
    <row r="49" spans="1:22" x14ac:dyDescent="0.25">
      <c r="A49" s="7" t="s">
        <v>196</v>
      </c>
      <c r="B49" s="24">
        <v>46248.340323124998</v>
      </c>
      <c r="C49" s="24">
        <v>46248.346137337961</v>
      </c>
      <c r="D49" s="5" t="s">
        <v>37</v>
      </c>
      <c r="E49" s="8" t="s">
        <v>129</v>
      </c>
      <c r="F49" s="8" t="s">
        <v>38</v>
      </c>
      <c r="G49" s="8" t="s">
        <v>105</v>
      </c>
      <c r="H49" s="25">
        <v>967.46</v>
      </c>
      <c r="I49" s="26">
        <v>962.05</v>
      </c>
      <c r="J49" s="26">
        <v>962.3</v>
      </c>
      <c r="K49" s="26">
        <v>972.98</v>
      </c>
      <c r="L49" s="26">
        <v>2.12</v>
      </c>
      <c r="M49" s="17"/>
      <c r="N49" s="16"/>
      <c r="O49" s="18" t="s">
        <v>31</v>
      </c>
      <c r="P49" s="18" t="s">
        <v>133</v>
      </c>
      <c r="Q49" s="30"/>
      <c r="R49" s="27"/>
      <c r="S49" s="27">
        <v>-8.5399999999999991</v>
      </c>
      <c r="T49" s="27">
        <f>IF(S49="","",SUM($S$5:S49))</f>
        <v>140.63999999999993</v>
      </c>
      <c r="U49" s="27">
        <f>IF(T49="","",MAX(0,MAX($T$5:T49)))</f>
        <v>153.75999999999993</v>
      </c>
      <c r="V49" s="27">
        <f>IF(T49="","",T49-U49)</f>
        <v>-13.120000000000005</v>
      </c>
    </row>
    <row r="50" spans="1:22" x14ac:dyDescent="0.25">
      <c r="A50" s="7" t="s">
        <v>193</v>
      </c>
      <c r="B50" s="24">
        <v>46248.458362870369</v>
      </c>
      <c r="C50" s="24">
        <v>46248.563556724534</v>
      </c>
      <c r="D50" s="5" t="s">
        <v>37</v>
      </c>
      <c r="E50" s="8" t="s">
        <v>129</v>
      </c>
      <c r="F50" s="8" t="s">
        <v>38</v>
      </c>
      <c r="G50" s="8" t="s">
        <v>105</v>
      </c>
      <c r="H50" s="25">
        <v>978.05</v>
      </c>
      <c r="I50" s="26">
        <v>964.21</v>
      </c>
      <c r="J50" s="26">
        <v>964.34</v>
      </c>
      <c r="K50" s="26">
        <v>993.92</v>
      </c>
      <c r="L50" s="26">
        <v>1.86</v>
      </c>
      <c r="M50" s="17"/>
      <c r="N50" s="16"/>
      <c r="O50" s="18" t="s">
        <v>31</v>
      </c>
      <c r="P50" s="18" t="s">
        <v>133</v>
      </c>
      <c r="Q50" s="30"/>
      <c r="R50" s="27"/>
      <c r="S50" s="27">
        <v>-19.14</v>
      </c>
      <c r="T50" s="27">
        <f>IF(S50="","",SUM($S$5:S50))</f>
        <v>121.49999999999993</v>
      </c>
      <c r="U50" s="27">
        <f>IF(T50="","",MAX(0,MAX($T$5:T50)))</f>
        <v>153.75999999999993</v>
      </c>
      <c r="V50" s="27">
        <f>IF(T50="","",T50-U50)</f>
        <v>-32.260000000000005</v>
      </c>
    </row>
    <row r="51" spans="1:22" x14ac:dyDescent="0.25">
      <c r="A51" s="7" t="s">
        <v>194</v>
      </c>
      <c r="B51" s="24">
        <v>46248.54184017361</v>
      </c>
      <c r="C51" s="24">
        <v>46248.554862696757</v>
      </c>
      <c r="D51" s="5" t="s">
        <v>37</v>
      </c>
      <c r="E51" s="8" t="s">
        <v>129</v>
      </c>
      <c r="F51" s="8" t="s">
        <v>38</v>
      </c>
      <c r="G51" s="8" t="s">
        <v>105</v>
      </c>
      <c r="H51" s="25">
        <v>981.52</v>
      </c>
      <c r="I51" s="26">
        <v>976.6</v>
      </c>
      <c r="J51" s="26">
        <v>976.72</v>
      </c>
      <c r="K51" s="26">
        <v>987.74</v>
      </c>
      <c r="L51" s="26">
        <v>1.78</v>
      </c>
      <c r="M51" s="17"/>
      <c r="N51" s="16"/>
      <c r="O51" s="18" t="s">
        <v>31</v>
      </c>
      <c r="P51" s="18" t="s">
        <v>133</v>
      </c>
      <c r="Q51" s="30"/>
      <c r="R51" s="27"/>
      <c r="S51" s="27">
        <v>-6.51</v>
      </c>
      <c r="T51" s="27">
        <f>IF(S51="","",SUM($S$5:S51))</f>
        <v>114.98999999999992</v>
      </c>
      <c r="U51" s="27">
        <f>IF(T51="","",MAX(0,MAX($T$5:T51)))</f>
        <v>153.75999999999993</v>
      </c>
      <c r="V51" s="27">
        <f>IF(T51="","",T51-U51)</f>
        <v>-38.77000000000001</v>
      </c>
    </row>
    <row r="52" spans="1:22" x14ac:dyDescent="0.25">
      <c r="A52" s="7" t="s">
        <v>192</v>
      </c>
      <c r="B52" s="24">
        <v>46248.573065763892</v>
      </c>
      <c r="C52" s="24">
        <v>46248.659597280093</v>
      </c>
      <c r="D52" s="5" t="s">
        <v>37</v>
      </c>
      <c r="E52" s="8" t="s">
        <v>129</v>
      </c>
      <c r="F52" s="8" t="s">
        <v>38</v>
      </c>
      <c r="G52" s="8" t="s">
        <v>105</v>
      </c>
      <c r="H52" s="25">
        <v>972.03</v>
      </c>
      <c r="I52" s="26">
        <v>957.33</v>
      </c>
      <c r="J52" s="26">
        <v>957.35</v>
      </c>
      <c r="K52" s="26">
        <v>990.08</v>
      </c>
      <c r="L52" s="26">
        <v>1.94</v>
      </c>
      <c r="M52" s="17"/>
      <c r="N52" s="16"/>
      <c r="O52" s="18" t="s">
        <v>31</v>
      </c>
      <c r="P52" s="18" t="s">
        <v>133</v>
      </c>
      <c r="Q52" s="30"/>
      <c r="R52" s="27"/>
      <c r="S52" s="27">
        <v>-21.18</v>
      </c>
      <c r="T52" s="27">
        <f>IF(S52="","",SUM($S$5:S52))</f>
        <v>93.809999999999917</v>
      </c>
      <c r="U52" s="27">
        <f>IF(T52="","",MAX(0,MAX($T$5:T52)))</f>
        <v>153.75999999999993</v>
      </c>
      <c r="V52" s="27">
        <f>IF(T52="","",T52-U52)</f>
        <v>-59.950000000000017</v>
      </c>
    </row>
    <row r="53" spans="1:22" x14ac:dyDescent="0.25">
      <c r="A53" s="7" t="s">
        <v>190</v>
      </c>
      <c r="B53" s="24">
        <v>46248.688867638892</v>
      </c>
      <c r="C53" s="24">
        <v>46248.689919548611</v>
      </c>
      <c r="D53" s="5" t="s">
        <v>107</v>
      </c>
      <c r="E53" s="8" t="s">
        <v>129</v>
      </c>
      <c r="F53" s="8" t="s">
        <v>39</v>
      </c>
      <c r="G53" s="8" t="s">
        <v>105</v>
      </c>
      <c r="H53" s="25">
        <v>4384.6899999999996</v>
      </c>
      <c r="I53" s="26">
        <v>4381.72</v>
      </c>
      <c r="J53" s="26"/>
      <c r="K53" s="26"/>
      <c r="L53" s="26">
        <v>5</v>
      </c>
      <c r="M53" s="17"/>
      <c r="N53" s="16"/>
      <c r="O53" s="18" t="s">
        <v>31</v>
      </c>
      <c r="P53" s="18" t="s">
        <v>133</v>
      </c>
      <c r="Q53" s="30"/>
      <c r="R53" s="27"/>
      <c r="S53" s="27">
        <v>10.88</v>
      </c>
      <c r="T53" s="27">
        <f>IF(S53="","",SUM($S$5:S53))</f>
        <v>104.68999999999991</v>
      </c>
      <c r="U53" s="27">
        <f>IF(T53="","",MAX(0,MAX($T$5:T53)))</f>
        <v>153.75999999999993</v>
      </c>
      <c r="V53" s="27">
        <f>IF(T53="","",T53-U53)</f>
        <v>-49.070000000000022</v>
      </c>
    </row>
    <row r="54" spans="1:22" x14ac:dyDescent="0.25">
      <c r="A54" s="7" t="s">
        <v>189</v>
      </c>
      <c r="B54" s="24">
        <v>46248.691412094908</v>
      </c>
      <c r="C54" s="24">
        <v>46248.694326273151</v>
      </c>
      <c r="D54" s="5" t="s">
        <v>37</v>
      </c>
      <c r="E54" s="8" t="s">
        <v>129</v>
      </c>
      <c r="F54" s="8" t="s">
        <v>38</v>
      </c>
      <c r="G54" s="8" t="s">
        <v>105</v>
      </c>
      <c r="H54" s="25">
        <v>964.04</v>
      </c>
      <c r="I54" s="26">
        <v>965.23</v>
      </c>
      <c r="J54" s="26"/>
      <c r="K54" s="26"/>
      <c r="L54" s="26">
        <v>5.7</v>
      </c>
      <c r="M54" s="17"/>
      <c r="N54" s="16"/>
      <c r="O54" s="18" t="s">
        <v>31</v>
      </c>
      <c r="P54" s="18" t="s">
        <v>133</v>
      </c>
      <c r="Q54" s="30"/>
      <c r="R54" s="27"/>
      <c r="S54" s="27">
        <v>4.97</v>
      </c>
      <c r="T54" s="27">
        <f>IF(S54="","",SUM($S$5:S54))</f>
        <v>109.65999999999991</v>
      </c>
      <c r="U54" s="27">
        <f>IF(T54="","",MAX(0,MAX($T$5:T54)))</f>
        <v>153.75999999999993</v>
      </c>
      <c r="V54" s="27">
        <f>IF(T54="","",T54-U54)</f>
        <v>-44.100000000000023</v>
      </c>
    </row>
    <row r="55" spans="1:22" x14ac:dyDescent="0.25">
      <c r="A55" s="7" t="s">
        <v>188</v>
      </c>
      <c r="B55" s="24">
        <v>46248.694526527775</v>
      </c>
      <c r="C55" s="24">
        <v>46248.710030624999</v>
      </c>
      <c r="D55" s="5" t="s">
        <v>107</v>
      </c>
      <c r="E55" s="8" t="s">
        <v>129</v>
      </c>
      <c r="F55" s="8" t="s">
        <v>39</v>
      </c>
      <c r="G55" s="8" t="s">
        <v>105</v>
      </c>
      <c r="H55" s="25">
        <v>4388.3500000000004</v>
      </c>
      <c r="I55" s="26">
        <v>4383.3100000000004</v>
      </c>
      <c r="J55" s="26"/>
      <c r="K55" s="26"/>
      <c r="L55" s="26">
        <v>5.0999999999999996</v>
      </c>
      <c r="M55" s="17"/>
      <c r="N55" s="16"/>
      <c r="O55" s="18" t="s">
        <v>32</v>
      </c>
      <c r="P55" s="18" t="s">
        <v>133</v>
      </c>
      <c r="Q55" s="30"/>
      <c r="R55" s="27"/>
      <c r="S55" s="27">
        <v>18.850000000000001</v>
      </c>
      <c r="T55" s="27">
        <f>IF(S55="","",SUM($S$5:S55))</f>
        <v>128.50999999999991</v>
      </c>
      <c r="U55" s="27">
        <f>IF(T55="","",MAX(0,MAX($T$5:T55)))</f>
        <v>153.75999999999993</v>
      </c>
      <c r="V55" s="27">
        <f>IF(T55="","",T55-U55)</f>
        <v>-25.250000000000028</v>
      </c>
    </row>
    <row r="56" spans="1:22" x14ac:dyDescent="0.25">
      <c r="A56" s="7" t="s">
        <v>187</v>
      </c>
      <c r="B56" s="24">
        <v>46248.748028136572</v>
      </c>
      <c r="C56" s="24">
        <v>46248.754242465278</v>
      </c>
      <c r="D56" s="5" t="s">
        <v>107</v>
      </c>
      <c r="E56" s="8" t="s">
        <v>129</v>
      </c>
      <c r="F56" s="8" t="s">
        <v>38</v>
      </c>
      <c r="G56" s="8" t="s">
        <v>105</v>
      </c>
      <c r="H56" s="25">
        <v>4377.62</v>
      </c>
      <c r="I56" s="26">
        <v>4381.05</v>
      </c>
      <c r="J56" s="26"/>
      <c r="K56" s="26"/>
      <c r="L56" s="26">
        <v>5.2</v>
      </c>
      <c r="M56" s="17"/>
      <c r="N56" s="16"/>
      <c r="O56" s="18" t="s">
        <v>31</v>
      </c>
      <c r="P56" s="18" t="s">
        <v>133</v>
      </c>
      <c r="Q56" s="30"/>
      <c r="R56" s="27"/>
      <c r="S56" s="27">
        <v>13.09</v>
      </c>
      <c r="T56" s="27">
        <f>IF(S56="","",SUM($S$5:S56))</f>
        <v>141.59999999999991</v>
      </c>
      <c r="U56" s="27">
        <f>IF(T56="","",MAX(0,MAX($T$5:T56)))</f>
        <v>153.75999999999993</v>
      </c>
      <c r="V56" s="27">
        <f>IF(T56="","",T56-U56)</f>
        <v>-12.160000000000025</v>
      </c>
    </row>
    <row r="57" spans="1:22" x14ac:dyDescent="0.25">
      <c r="A57" s="7" t="s">
        <v>186</v>
      </c>
      <c r="B57" s="24">
        <v>46248.763731203704</v>
      </c>
      <c r="C57" s="24">
        <v>46248.79132856481</v>
      </c>
      <c r="D57" s="5" t="s">
        <v>37</v>
      </c>
      <c r="E57" s="8" t="s">
        <v>129</v>
      </c>
      <c r="F57" s="8" t="s">
        <v>38</v>
      </c>
      <c r="G57" s="8" t="s">
        <v>105</v>
      </c>
      <c r="H57" s="25">
        <v>962.92</v>
      </c>
      <c r="I57" s="26">
        <v>964.35</v>
      </c>
      <c r="J57" s="26"/>
      <c r="K57" s="26"/>
      <c r="L57" s="26">
        <v>6</v>
      </c>
      <c r="M57" s="17"/>
      <c r="N57" s="16"/>
      <c r="O57" s="18" t="s">
        <v>31</v>
      </c>
      <c r="P57" s="18" t="s">
        <v>133</v>
      </c>
      <c r="Q57" s="30"/>
      <c r="R57" s="27"/>
      <c r="S57" s="27">
        <v>6.3</v>
      </c>
      <c r="T57" s="27">
        <f>IF(S57="","",SUM($S$5:S57))</f>
        <v>147.89999999999992</v>
      </c>
      <c r="U57" s="27">
        <f>IF(T57="","",MAX(0,MAX($T$5:T57)))</f>
        <v>153.75999999999993</v>
      </c>
      <c r="V57" s="27">
        <f>IF(T57="","",T57-U57)</f>
        <v>-5.8600000000000136</v>
      </c>
    </row>
    <row r="58" spans="1:22" x14ac:dyDescent="0.25">
      <c r="A58" s="7" t="s">
        <v>205</v>
      </c>
      <c r="B58" s="24">
        <v>46251.70142297454</v>
      </c>
      <c r="C58" s="24">
        <v>46251.712206284719</v>
      </c>
      <c r="D58" s="5" t="s">
        <v>145</v>
      </c>
      <c r="E58" s="8" t="s">
        <v>129</v>
      </c>
      <c r="F58" s="8" t="s">
        <v>39</v>
      </c>
      <c r="G58" s="8" t="s">
        <v>105</v>
      </c>
      <c r="H58" s="25">
        <v>226.99</v>
      </c>
      <c r="I58" s="26">
        <v>226.77</v>
      </c>
      <c r="J58" s="26">
        <v>227.23</v>
      </c>
      <c r="K58" s="26">
        <v>226.77</v>
      </c>
      <c r="L58" s="26">
        <v>8.4</v>
      </c>
      <c r="M58" s="17"/>
      <c r="N58" s="16"/>
      <c r="O58" s="18" t="s">
        <v>32</v>
      </c>
      <c r="P58" s="18" t="s">
        <v>133</v>
      </c>
      <c r="Q58" s="30"/>
      <c r="R58" s="27"/>
      <c r="S58" s="27">
        <v>1.35</v>
      </c>
      <c r="T58" s="27">
        <f>IF(S58="","",SUM($S$5:S58))</f>
        <v>149.24999999999991</v>
      </c>
      <c r="U58" s="27">
        <f>IF(T58="","",MAX(0,MAX($T$5:T58)))</f>
        <v>153.75999999999993</v>
      </c>
      <c r="V58" s="27">
        <f>IF(T58="","",T58-U58)</f>
        <v>-4.5100000000000193</v>
      </c>
    </row>
    <row r="59" spans="1:22" x14ac:dyDescent="0.25">
      <c r="A59" s="7" t="s">
        <v>204</v>
      </c>
      <c r="B59" s="24">
        <v>46251.709573761575</v>
      </c>
      <c r="C59" s="24">
        <v>46251.718889965283</v>
      </c>
      <c r="D59" s="5" t="s">
        <v>37</v>
      </c>
      <c r="E59" s="8" t="s">
        <v>129</v>
      </c>
      <c r="F59" s="8" t="s">
        <v>39</v>
      </c>
      <c r="G59" s="8" t="s">
        <v>105</v>
      </c>
      <c r="H59" s="25">
        <v>1031.8900000000001</v>
      </c>
      <c r="I59" s="26">
        <v>1026.49</v>
      </c>
      <c r="J59" s="26"/>
      <c r="K59" s="26">
        <v>1029.82</v>
      </c>
      <c r="L59" s="26">
        <v>1.5</v>
      </c>
      <c r="M59" s="17"/>
      <c r="N59" s="16"/>
      <c r="O59" s="18" t="s">
        <v>132</v>
      </c>
      <c r="P59" s="18" t="s">
        <v>133</v>
      </c>
      <c r="Q59" s="30"/>
      <c r="R59" s="27"/>
      <c r="S59" s="27">
        <v>5.93</v>
      </c>
      <c r="T59" s="27">
        <f>IF(S59="","",SUM($S$5:S59))</f>
        <v>155.17999999999992</v>
      </c>
      <c r="U59" s="27">
        <f>IF(T59="","",MAX(0,MAX($T$5:T59)))</f>
        <v>155.17999999999992</v>
      </c>
      <c r="V59" s="27">
        <f>IF(T59="","",T59-U59)</f>
        <v>0</v>
      </c>
    </row>
    <row r="60" spans="1:22" x14ac:dyDescent="0.25">
      <c r="A60" s="7" t="s">
        <v>203</v>
      </c>
      <c r="B60" s="24">
        <v>46251.730867268518</v>
      </c>
      <c r="C60" s="24">
        <v>46251.76232065972</v>
      </c>
      <c r="D60" s="5" t="s">
        <v>136</v>
      </c>
      <c r="E60" s="8" t="s">
        <v>129</v>
      </c>
      <c r="F60" s="8" t="s">
        <v>38</v>
      </c>
      <c r="G60" s="8" t="s">
        <v>105</v>
      </c>
      <c r="H60" s="25">
        <v>479.19</v>
      </c>
      <c r="I60" s="26">
        <v>479.32</v>
      </c>
      <c r="J60" s="26"/>
      <c r="K60" s="26">
        <v>480.14</v>
      </c>
      <c r="L60" s="26">
        <v>5</v>
      </c>
      <c r="M60" s="17"/>
      <c r="N60" s="16"/>
      <c r="O60" s="18" t="s">
        <v>132</v>
      </c>
      <c r="P60" s="18" t="s">
        <v>133</v>
      </c>
      <c r="Q60" s="30"/>
      <c r="R60" s="27"/>
      <c r="S60" s="27">
        <v>0.48</v>
      </c>
      <c r="T60" s="27">
        <f>IF(S60="","",SUM($S$5:S60))</f>
        <v>155.65999999999991</v>
      </c>
      <c r="U60" s="27">
        <f>IF(T60="","",MAX(0,MAX($T$5:T60)))</f>
        <v>155.65999999999991</v>
      </c>
      <c r="V60" s="27">
        <f>IF(T60="","",T60-U60)</f>
        <v>0</v>
      </c>
    </row>
    <row r="61" spans="1:22" x14ac:dyDescent="0.25">
      <c r="A61" s="7" t="s">
        <v>202</v>
      </c>
      <c r="B61" s="24">
        <v>46251.773695081021</v>
      </c>
      <c r="C61" s="24">
        <v>46251.774025879626</v>
      </c>
      <c r="D61" s="5" t="s">
        <v>136</v>
      </c>
      <c r="E61" s="8" t="s">
        <v>129</v>
      </c>
      <c r="F61" s="8" t="s">
        <v>39</v>
      </c>
      <c r="G61" s="8" t="s">
        <v>105</v>
      </c>
      <c r="H61" s="25">
        <v>479.32</v>
      </c>
      <c r="I61" s="26">
        <v>479.57</v>
      </c>
      <c r="J61" s="26">
        <v>479.87</v>
      </c>
      <c r="K61" s="26">
        <v>478.72</v>
      </c>
      <c r="L61" s="26">
        <v>4.0199999999999996</v>
      </c>
      <c r="M61" s="17"/>
      <c r="N61" s="16"/>
      <c r="O61" s="18" t="s">
        <v>132</v>
      </c>
      <c r="P61" s="18" t="s">
        <v>133</v>
      </c>
      <c r="Q61" s="30"/>
      <c r="R61" s="27"/>
      <c r="S61" s="27">
        <v>-0.75</v>
      </c>
      <c r="T61" s="27">
        <f>IF(S61="","",SUM($S$5:S61))</f>
        <v>154.90999999999991</v>
      </c>
      <c r="U61" s="27">
        <f>IF(T61="","",MAX(0,MAX($T$5:T61)))</f>
        <v>155.65999999999991</v>
      </c>
      <c r="V61" s="27">
        <f>IF(T61="","",T61-U61)</f>
        <v>-0.75</v>
      </c>
    </row>
    <row r="62" spans="1:22" x14ac:dyDescent="0.25">
      <c r="A62" s="7" t="s">
        <v>201</v>
      </c>
      <c r="B62" s="24">
        <v>46251.777838819442</v>
      </c>
      <c r="C62" s="24">
        <v>46251.778358703705</v>
      </c>
      <c r="D62" s="5" t="s">
        <v>136</v>
      </c>
      <c r="E62" s="8" t="s">
        <v>129</v>
      </c>
      <c r="F62" s="8" t="s">
        <v>39</v>
      </c>
      <c r="G62" s="8" t="s">
        <v>105</v>
      </c>
      <c r="H62" s="25">
        <v>479.3</v>
      </c>
      <c r="I62" s="26">
        <v>479.59</v>
      </c>
      <c r="J62" s="26">
        <v>479.93</v>
      </c>
      <c r="K62" s="26">
        <v>478.76</v>
      </c>
      <c r="L62" s="26">
        <v>4.01</v>
      </c>
      <c r="M62" s="17"/>
      <c r="N62" s="16"/>
      <c r="O62" s="18" t="s">
        <v>132</v>
      </c>
      <c r="P62" s="18" t="s">
        <v>133</v>
      </c>
      <c r="Q62" s="30"/>
      <c r="R62" s="27"/>
      <c r="S62" s="27">
        <v>-0.86</v>
      </c>
      <c r="T62" s="27">
        <f>IF(S62="","",SUM($S$5:S62))</f>
        <v>154.0499999999999</v>
      </c>
      <c r="U62" s="27">
        <f>IF(T62="","",MAX(0,MAX($T$5:T62)))</f>
        <v>155.65999999999991</v>
      </c>
      <c r="V62" s="27">
        <f>IF(T62="","",T62-U62)</f>
        <v>-1.6100000000000136</v>
      </c>
    </row>
    <row r="63" spans="1:22" x14ac:dyDescent="0.25">
      <c r="A63" s="7" t="s">
        <v>200</v>
      </c>
      <c r="B63" s="24">
        <v>46251.783350428246</v>
      </c>
      <c r="C63" s="24">
        <v>46251.784032453703</v>
      </c>
      <c r="D63" s="5" t="s">
        <v>136</v>
      </c>
      <c r="E63" s="8" t="s">
        <v>129</v>
      </c>
      <c r="F63" s="8" t="s">
        <v>38</v>
      </c>
      <c r="G63" s="8" t="s">
        <v>105</v>
      </c>
      <c r="H63" s="25">
        <v>480.32</v>
      </c>
      <c r="I63" s="26">
        <v>480.01</v>
      </c>
      <c r="J63" s="26">
        <v>479.76</v>
      </c>
      <c r="K63" s="26">
        <v>480.93</v>
      </c>
      <c r="L63" s="26">
        <v>4</v>
      </c>
      <c r="M63" s="17"/>
      <c r="N63" s="16"/>
      <c r="O63" s="18" t="s">
        <v>132</v>
      </c>
      <c r="P63" s="18" t="s">
        <v>133</v>
      </c>
      <c r="Q63" s="30"/>
      <c r="R63" s="27"/>
      <c r="S63" s="27">
        <v>-0.92</v>
      </c>
      <c r="T63" s="27">
        <f>IF(S63="","",SUM($S$5:S63))</f>
        <v>153.12999999999991</v>
      </c>
      <c r="U63" s="27">
        <f>IF(T63="","",MAX(0,MAX($T$5:T63)))</f>
        <v>155.65999999999991</v>
      </c>
      <c r="V63" s="27">
        <f>IF(T63="","",T63-U63)</f>
        <v>-2.5300000000000011</v>
      </c>
    </row>
    <row r="64" spans="1:22" x14ac:dyDescent="0.25">
      <c r="I64" s="4"/>
      <c r="J64" s="4"/>
      <c r="K64" s="4"/>
    </row>
    <row r="65" spans="9:11" x14ac:dyDescent="0.25">
      <c r="I65" s="4"/>
      <c r="J65" s="4"/>
      <c r="K65" s="4"/>
    </row>
    <row r="66" spans="9:11" x14ac:dyDescent="0.25">
      <c r="I66" s="4"/>
      <c r="J66" s="4"/>
      <c r="K66" s="4"/>
    </row>
    <row r="67" spans="9:11" x14ac:dyDescent="0.25">
      <c r="I67" s="4"/>
      <c r="J67" s="4"/>
      <c r="K67" s="4"/>
    </row>
    <row r="68" spans="9:11" x14ac:dyDescent="0.25">
      <c r="I68" s="4"/>
      <c r="J68" s="4"/>
      <c r="K68" s="4"/>
    </row>
    <row r="69" spans="9:11" x14ac:dyDescent="0.25">
      <c r="I69" s="4"/>
      <c r="J69" s="4"/>
      <c r="K69" s="4"/>
    </row>
    <row r="70" spans="9:11" x14ac:dyDescent="0.25">
      <c r="I70" s="4"/>
      <c r="J70" s="4"/>
      <c r="K70" s="4"/>
    </row>
    <row r="71" spans="9:11" x14ac:dyDescent="0.25">
      <c r="I71" s="4"/>
      <c r="J71" s="4"/>
      <c r="K71" s="4"/>
    </row>
    <row r="72" spans="9:11" x14ac:dyDescent="0.25">
      <c r="I72" s="4"/>
      <c r="J72" s="4"/>
      <c r="K72" s="4"/>
    </row>
    <row r="73" spans="9:11" x14ac:dyDescent="0.25">
      <c r="I73" s="4"/>
      <c r="J73" s="4"/>
      <c r="K73" s="4"/>
    </row>
    <row r="74" spans="9:11" x14ac:dyDescent="0.25">
      <c r="I74" s="4"/>
      <c r="J74" s="4"/>
      <c r="K74" s="4"/>
    </row>
    <row r="75" spans="9:11" x14ac:dyDescent="0.25">
      <c r="I75" s="4"/>
      <c r="J75" s="4"/>
      <c r="K75" s="4"/>
    </row>
    <row r="76" spans="9:11" x14ac:dyDescent="0.25">
      <c r="I76" s="4"/>
      <c r="J76" s="4"/>
      <c r="K76" s="4"/>
    </row>
    <row r="77" spans="9:11" x14ac:dyDescent="0.25">
      <c r="I77" s="4"/>
      <c r="J77" s="4"/>
      <c r="K77" s="4"/>
    </row>
    <row r="78" spans="9:11" x14ac:dyDescent="0.25">
      <c r="I78" s="4"/>
      <c r="J78" s="4"/>
      <c r="K78" s="4"/>
    </row>
    <row r="79" spans="9:11" x14ac:dyDescent="0.25">
      <c r="I79" s="4"/>
      <c r="J79" s="4"/>
      <c r="K79" s="4"/>
    </row>
    <row r="80" spans="9:11" x14ac:dyDescent="0.25">
      <c r="I80" s="4"/>
      <c r="J80" s="4"/>
      <c r="K80" s="4"/>
    </row>
    <row r="81" spans="9:11" x14ac:dyDescent="0.25">
      <c r="I81" s="4"/>
      <c r="J81" s="4"/>
      <c r="K81" s="4"/>
    </row>
    <row r="82" spans="9:11" x14ac:dyDescent="0.25">
      <c r="I82" s="4"/>
      <c r="J82" s="4"/>
      <c r="K82" s="4"/>
    </row>
    <row r="83" spans="9:11" x14ac:dyDescent="0.25">
      <c r="I83" s="4"/>
      <c r="J83" s="4"/>
      <c r="K83" s="4"/>
    </row>
    <row r="84" spans="9:11" x14ac:dyDescent="0.25">
      <c r="I84" s="4"/>
      <c r="J84" s="4"/>
      <c r="K84" s="4"/>
    </row>
    <row r="85" spans="9:11" x14ac:dyDescent="0.25">
      <c r="I85" s="4"/>
      <c r="J85" s="4"/>
      <c r="K85" s="4"/>
    </row>
    <row r="86" spans="9:11" x14ac:dyDescent="0.25">
      <c r="I86" s="4"/>
      <c r="J86" s="4"/>
      <c r="K86" s="4"/>
    </row>
    <row r="87" spans="9:11" x14ac:dyDescent="0.25">
      <c r="I87" s="4"/>
      <c r="J87" s="4"/>
      <c r="K87" s="4"/>
    </row>
    <row r="88" spans="9:11" x14ac:dyDescent="0.25">
      <c r="I88" s="4"/>
      <c r="J88" s="4"/>
      <c r="K88" s="4"/>
    </row>
    <row r="89" spans="9:11" x14ac:dyDescent="0.25">
      <c r="I89" s="4"/>
      <c r="J89" s="4"/>
      <c r="K89" s="4"/>
    </row>
    <row r="90" spans="9:11" x14ac:dyDescent="0.25">
      <c r="I90" s="4"/>
      <c r="J90" s="4"/>
      <c r="K90" s="4"/>
    </row>
    <row r="91" spans="9:11" x14ac:dyDescent="0.25">
      <c r="I91" s="4"/>
      <c r="J91" s="4"/>
      <c r="K91" s="4"/>
    </row>
    <row r="92" spans="9:11" x14ac:dyDescent="0.25">
      <c r="I92" s="4"/>
      <c r="J92" s="4"/>
      <c r="K92" s="4"/>
    </row>
    <row r="93" spans="9:11" x14ac:dyDescent="0.25">
      <c r="I93" s="4"/>
      <c r="J93" s="4"/>
      <c r="K93" s="4"/>
    </row>
    <row r="94" spans="9:11" x14ac:dyDescent="0.25">
      <c r="I94" s="4"/>
      <c r="J94" s="4"/>
      <c r="K94" s="4"/>
    </row>
    <row r="95" spans="9:11" x14ac:dyDescent="0.25">
      <c r="I95" s="4"/>
      <c r="J95" s="4"/>
      <c r="K95" s="4"/>
    </row>
    <row r="96" spans="9:11" x14ac:dyDescent="0.25">
      <c r="I96" s="4"/>
      <c r="J96" s="4"/>
      <c r="K96" s="4"/>
    </row>
    <row r="97" spans="9:11" x14ac:dyDescent="0.25">
      <c r="I97" s="4"/>
      <c r="J97" s="4"/>
      <c r="K97" s="4"/>
    </row>
    <row r="98" spans="9:11" x14ac:dyDescent="0.25">
      <c r="I98" s="4"/>
      <c r="J98" s="4"/>
      <c r="K98" s="4"/>
    </row>
    <row r="99" spans="9:11" x14ac:dyDescent="0.25">
      <c r="I99" s="4"/>
      <c r="J99" s="4"/>
      <c r="K99" s="4"/>
    </row>
    <row r="100" spans="9:11" x14ac:dyDescent="0.25">
      <c r="I100" s="4"/>
      <c r="J100" s="4"/>
      <c r="K100" s="4"/>
    </row>
    <row r="101" spans="9:11" x14ac:dyDescent="0.25">
      <c r="I101" s="4"/>
      <c r="J101" s="4"/>
      <c r="K101" s="4"/>
    </row>
    <row r="102" spans="9:11" x14ac:dyDescent="0.25">
      <c r="I102" s="4"/>
      <c r="J102" s="4"/>
      <c r="K102" s="4"/>
    </row>
    <row r="103" spans="9:11" x14ac:dyDescent="0.25">
      <c r="I103" s="4"/>
      <c r="J103" s="4"/>
      <c r="K103" s="4"/>
    </row>
    <row r="104" spans="9:11" x14ac:dyDescent="0.25">
      <c r="I104" s="4"/>
      <c r="J104" s="4"/>
      <c r="K104" s="4"/>
    </row>
    <row r="105" spans="9:11" x14ac:dyDescent="0.25">
      <c r="I105" s="4"/>
      <c r="J105" s="4"/>
      <c r="K105" s="4"/>
    </row>
    <row r="106" spans="9:11" x14ac:dyDescent="0.25">
      <c r="I106" s="4"/>
      <c r="J106" s="4"/>
      <c r="K106" s="4"/>
    </row>
    <row r="107" spans="9:11" x14ac:dyDescent="0.25">
      <c r="I107" s="4"/>
      <c r="J107" s="4"/>
      <c r="K107" s="4"/>
    </row>
    <row r="108" spans="9:11" x14ac:dyDescent="0.25">
      <c r="I108" s="4"/>
      <c r="J108" s="4"/>
      <c r="K108" s="4"/>
    </row>
    <row r="109" spans="9:11" x14ac:dyDescent="0.25">
      <c r="I109" s="4"/>
      <c r="J109" s="4"/>
      <c r="K109" s="4"/>
    </row>
    <row r="110" spans="9:11" x14ac:dyDescent="0.25">
      <c r="I110" s="4"/>
      <c r="J110" s="4"/>
      <c r="K110" s="4"/>
    </row>
    <row r="111" spans="9:11" x14ac:dyDescent="0.25">
      <c r="I111" s="4"/>
      <c r="J111" s="4"/>
      <c r="K111" s="4"/>
    </row>
    <row r="112" spans="9:11" x14ac:dyDescent="0.25">
      <c r="I112" s="4"/>
      <c r="J112" s="4"/>
      <c r="K112" s="4"/>
    </row>
    <row r="113" spans="9:11" x14ac:dyDescent="0.25">
      <c r="I113" s="4"/>
      <c r="J113" s="4"/>
      <c r="K113" s="4"/>
    </row>
    <row r="114" spans="9:11" x14ac:dyDescent="0.25">
      <c r="I114" s="4"/>
      <c r="J114" s="4"/>
      <c r="K114" s="4"/>
    </row>
    <row r="115" spans="9:11" x14ac:dyDescent="0.25">
      <c r="I115" s="4"/>
      <c r="J115" s="4"/>
      <c r="K115" s="4"/>
    </row>
    <row r="116" spans="9:11" x14ac:dyDescent="0.25">
      <c r="I116" s="4"/>
      <c r="J116" s="4"/>
      <c r="K116" s="4"/>
    </row>
    <row r="117" spans="9:11" x14ac:dyDescent="0.25">
      <c r="I117" s="4"/>
      <c r="J117" s="4"/>
      <c r="K117" s="4"/>
    </row>
    <row r="118" spans="9:11" x14ac:dyDescent="0.25">
      <c r="I118" s="4"/>
      <c r="J118" s="4"/>
      <c r="K118" s="4"/>
    </row>
    <row r="119" spans="9:11" x14ac:dyDescent="0.25">
      <c r="I119" s="4"/>
      <c r="J119" s="4"/>
      <c r="K119" s="4"/>
    </row>
    <row r="120" spans="9:11" x14ac:dyDescent="0.25">
      <c r="I120" s="4"/>
      <c r="J120" s="4"/>
      <c r="K120" s="4"/>
    </row>
    <row r="121" spans="9:11" x14ac:dyDescent="0.25">
      <c r="I121" s="4"/>
      <c r="J121" s="4"/>
      <c r="K121" s="4"/>
    </row>
    <row r="122" spans="9:11" x14ac:dyDescent="0.25">
      <c r="I122" s="4"/>
      <c r="J122" s="4"/>
      <c r="K122" s="4"/>
    </row>
    <row r="123" spans="9:11" x14ac:dyDescent="0.25">
      <c r="I123" s="4"/>
      <c r="J123" s="4"/>
      <c r="K123" s="4"/>
    </row>
    <row r="124" spans="9:11" x14ac:dyDescent="0.25">
      <c r="I124" s="4"/>
      <c r="J124" s="4"/>
      <c r="K124" s="4"/>
    </row>
    <row r="125" spans="9:11" x14ac:dyDescent="0.25">
      <c r="I125" s="4"/>
      <c r="J125" s="4"/>
      <c r="K125" s="4"/>
    </row>
    <row r="126" spans="9:11" x14ac:dyDescent="0.25">
      <c r="I126" s="4"/>
      <c r="J126" s="4"/>
      <c r="K126" s="4"/>
    </row>
    <row r="127" spans="9:11" x14ac:dyDescent="0.25">
      <c r="I127" s="4"/>
      <c r="J127" s="4"/>
      <c r="K127" s="4"/>
    </row>
    <row r="128" spans="9:11" x14ac:dyDescent="0.25">
      <c r="I128" s="4"/>
      <c r="J128" s="4"/>
      <c r="K128" s="4"/>
    </row>
    <row r="129" spans="9:11" x14ac:dyDescent="0.25">
      <c r="I129" s="4"/>
      <c r="J129" s="4"/>
      <c r="K129" s="4"/>
    </row>
    <row r="130" spans="9:11" x14ac:dyDescent="0.25">
      <c r="I130" s="4"/>
      <c r="J130" s="4"/>
      <c r="K130" s="4"/>
    </row>
    <row r="131" spans="9:11" x14ac:dyDescent="0.25">
      <c r="I131" s="4"/>
      <c r="J131" s="4"/>
      <c r="K131" s="4"/>
    </row>
    <row r="132" spans="9:11" x14ac:dyDescent="0.25">
      <c r="I132" s="4"/>
      <c r="J132" s="4"/>
      <c r="K132" s="4"/>
    </row>
    <row r="133" spans="9:11" x14ac:dyDescent="0.25">
      <c r="I133" s="4"/>
      <c r="J133" s="4"/>
      <c r="K133" s="4"/>
    </row>
    <row r="134" spans="9:11" x14ac:dyDescent="0.25">
      <c r="I134" s="4"/>
      <c r="J134" s="4"/>
      <c r="K134" s="4"/>
    </row>
    <row r="135" spans="9:11" x14ac:dyDescent="0.25">
      <c r="I135" s="4"/>
      <c r="J135" s="4"/>
      <c r="K135" s="4"/>
    </row>
    <row r="136" spans="9:11" x14ac:dyDescent="0.25">
      <c r="I136" s="4"/>
      <c r="J136" s="4"/>
      <c r="K136" s="4"/>
    </row>
    <row r="137" spans="9:11" x14ac:dyDescent="0.25">
      <c r="I137" s="4"/>
      <c r="J137" s="4"/>
      <c r="K137" s="4"/>
    </row>
    <row r="138" spans="9:11" x14ac:dyDescent="0.25">
      <c r="I138" s="4"/>
      <c r="J138" s="4"/>
      <c r="K138" s="4"/>
    </row>
    <row r="139" spans="9:11" x14ac:dyDescent="0.25">
      <c r="I139" s="4"/>
      <c r="J139" s="4"/>
      <c r="K139" s="4"/>
    </row>
    <row r="140" spans="9:11" x14ac:dyDescent="0.25">
      <c r="I140" s="4"/>
      <c r="J140" s="4"/>
      <c r="K140" s="4"/>
    </row>
    <row r="141" spans="9:11" x14ac:dyDescent="0.25">
      <c r="I141" s="4"/>
      <c r="J141" s="4"/>
      <c r="K141" s="4"/>
    </row>
    <row r="142" spans="9:11" x14ac:dyDescent="0.25">
      <c r="I142" s="4"/>
      <c r="J142" s="4"/>
      <c r="K142" s="4"/>
    </row>
    <row r="143" spans="9:11" x14ac:dyDescent="0.25">
      <c r="I143" s="4"/>
      <c r="J143" s="4"/>
      <c r="K143" s="4"/>
    </row>
    <row r="144" spans="9:11" x14ac:dyDescent="0.25">
      <c r="I144" s="4"/>
      <c r="J144" s="4"/>
      <c r="K144" s="4"/>
    </row>
    <row r="145" spans="9:11" x14ac:dyDescent="0.25">
      <c r="I145" s="4"/>
      <c r="J145" s="4"/>
      <c r="K145" s="4"/>
    </row>
    <row r="146" spans="9:11" x14ac:dyDescent="0.25">
      <c r="I146" s="4"/>
      <c r="J146" s="4"/>
      <c r="K146" s="4"/>
    </row>
    <row r="147" spans="9:11" x14ac:dyDescent="0.25">
      <c r="I147" s="4"/>
      <c r="J147" s="4"/>
      <c r="K147" s="4"/>
    </row>
    <row r="148" spans="9:11" x14ac:dyDescent="0.25">
      <c r="I148" s="4"/>
      <c r="J148" s="4"/>
      <c r="K148" s="4"/>
    </row>
    <row r="149" spans="9:11" x14ac:dyDescent="0.25">
      <c r="I149" s="4"/>
      <c r="J149" s="4"/>
      <c r="K149" s="4"/>
    </row>
    <row r="150" spans="9:11" x14ac:dyDescent="0.25">
      <c r="I150" s="4"/>
      <c r="J150" s="4"/>
      <c r="K150" s="4"/>
    </row>
    <row r="151" spans="9:11" x14ac:dyDescent="0.25">
      <c r="I151" s="4"/>
      <c r="J151" s="4"/>
      <c r="K151" s="4"/>
    </row>
    <row r="152" spans="9:11" x14ac:dyDescent="0.25">
      <c r="I152" s="4"/>
      <c r="J152" s="4"/>
      <c r="K152" s="4"/>
    </row>
    <row r="153" spans="9:11" x14ac:dyDescent="0.25">
      <c r="I153" s="4"/>
      <c r="J153" s="4"/>
      <c r="K153" s="4"/>
    </row>
    <row r="154" spans="9:11" x14ac:dyDescent="0.25">
      <c r="I154" s="4"/>
      <c r="J154" s="4"/>
      <c r="K154" s="4"/>
    </row>
    <row r="155" spans="9:11" x14ac:dyDescent="0.25">
      <c r="I155" s="4"/>
      <c r="J155" s="4"/>
      <c r="K155" s="4"/>
    </row>
    <row r="156" spans="9:11" x14ac:dyDescent="0.25">
      <c r="I156" s="4"/>
      <c r="J156" s="4"/>
      <c r="K156" s="4"/>
    </row>
    <row r="157" spans="9:11" x14ac:dyDescent="0.25">
      <c r="I157" s="4"/>
      <c r="J157" s="4"/>
      <c r="K157" s="4"/>
    </row>
    <row r="158" spans="9:11" x14ac:dyDescent="0.25">
      <c r="I158" s="4"/>
      <c r="J158" s="4"/>
      <c r="K158" s="4"/>
    </row>
    <row r="159" spans="9:11" x14ac:dyDescent="0.25">
      <c r="I159" s="4"/>
      <c r="J159" s="4"/>
      <c r="K159" s="4"/>
    </row>
    <row r="160" spans="9:11" x14ac:dyDescent="0.25">
      <c r="I160" s="4"/>
      <c r="J160" s="4"/>
      <c r="K160" s="4"/>
    </row>
    <row r="161" spans="9:11" x14ac:dyDescent="0.25">
      <c r="I161" s="4"/>
      <c r="J161" s="4"/>
      <c r="K161" s="4"/>
    </row>
    <row r="162" spans="9:11" x14ac:dyDescent="0.25">
      <c r="I162" s="4"/>
      <c r="J162" s="4"/>
      <c r="K162" s="4"/>
    </row>
    <row r="163" spans="9:11" x14ac:dyDescent="0.25">
      <c r="I163" s="4"/>
      <c r="J163" s="4"/>
      <c r="K163" s="4"/>
    </row>
    <row r="164" spans="9:11" x14ac:dyDescent="0.25">
      <c r="I164" s="4"/>
      <c r="J164" s="4"/>
      <c r="K164" s="4"/>
    </row>
    <row r="165" spans="9:11" x14ac:dyDescent="0.25">
      <c r="I165" s="4"/>
      <c r="J165" s="4"/>
      <c r="K165" s="4"/>
    </row>
    <row r="166" spans="9:11" x14ac:dyDescent="0.25">
      <c r="I166" s="4"/>
      <c r="J166" s="4"/>
      <c r="K166" s="4"/>
    </row>
    <row r="167" spans="9:11" x14ac:dyDescent="0.25">
      <c r="I167" s="4"/>
      <c r="J167" s="4"/>
      <c r="K167" s="4"/>
    </row>
    <row r="168" spans="9:11" x14ac:dyDescent="0.25">
      <c r="I168" s="4"/>
      <c r="J168" s="4"/>
      <c r="K168" s="4"/>
    </row>
    <row r="169" spans="9:11" x14ac:dyDescent="0.25">
      <c r="I169" s="4"/>
      <c r="J169" s="4"/>
      <c r="K169" s="4"/>
    </row>
    <row r="170" spans="9:11" x14ac:dyDescent="0.25">
      <c r="I170" s="4"/>
      <c r="J170" s="4"/>
      <c r="K170" s="4"/>
    </row>
    <row r="171" spans="9:11" x14ac:dyDescent="0.25">
      <c r="I171" s="4"/>
      <c r="J171" s="4"/>
      <c r="K171" s="4"/>
    </row>
    <row r="172" spans="9:11" x14ac:dyDescent="0.25">
      <c r="I172" s="4"/>
      <c r="J172" s="4"/>
      <c r="K172" s="4"/>
    </row>
    <row r="173" spans="9:11" x14ac:dyDescent="0.25">
      <c r="I173" s="4"/>
      <c r="J173" s="4"/>
      <c r="K173" s="4"/>
    </row>
    <row r="174" spans="9:11" x14ac:dyDescent="0.25">
      <c r="I174" s="4"/>
      <c r="J174" s="4"/>
      <c r="K174" s="4"/>
    </row>
    <row r="175" spans="9:11" x14ac:dyDescent="0.25">
      <c r="I175" s="4"/>
      <c r="J175" s="4"/>
      <c r="K175" s="4"/>
    </row>
    <row r="176" spans="9:11" x14ac:dyDescent="0.25">
      <c r="I176" s="4"/>
      <c r="J176" s="4"/>
      <c r="K176" s="4"/>
    </row>
    <row r="177" spans="9:11" x14ac:dyDescent="0.25">
      <c r="I177" s="4"/>
      <c r="J177" s="4"/>
      <c r="K177" s="4"/>
    </row>
    <row r="178" spans="9:11" x14ac:dyDescent="0.25">
      <c r="I178" s="4"/>
      <c r="J178" s="4"/>
      <c r="K178" s="4"/>
    </row>
    <row r="179" spans="9:11" x14ac:dyDescent="0.25">
      <c r="I179" s="4"/>
      <c r="J179" s="4"/>
      <c r="K179" s="4"/>
    </row>
    <row r="180" spans="9:11" x14ac:dyDescent="0.25">
      <c r="I180" s="4"/>
      <c r="J180" s="4"/>
      <c r="K180" s="4"/>
    </row>
    <row r="181" spans="9:11" x14ac:dyDescent="0.25">
      <c r="I181" s="4"/>
      <c r="J181" s="4"/>
      <c r="K181" s="4"/>
    </row>
    <row r="182" spans="9:11" x14ac:dyDescent="0.25">
      <c r="I182" s="4"/>
      <c r="J182" s="4"/>
      <c r="K182" s="4"/>
    </row>
    <row r="183" spans="9:11" x14ac:dyDescent="0.25">
      <c r="I183" s="4"/>
      <c r="J183" s="4"/>
      <c r="K183" s="4"/>
    </row>
    <row r="184" spans="9:11" x14ac:dyDescent="0.25">
      <c r="I184" s="4"/>
      <c r="J184" s="4"/>
      <c r="K184" s="4"/>
    </row>
    <row r="185" spans="9:11" x14ac:dyDescent="0.25">
      <c r="I185" s="4"/>
      <c r="J185" s="4"/>
      <c r="K185" s="4"/>
    </row>
    <row r="186" spans="9:11" x14ac:dyDescent="0.25">
      <c r="I186" s="4"/>
      <c r="J186" s="4"/>
      <c r="K186" s="4"/>
    </row>
    <row r="187" spans="9:11" x14ac:dyDescent="0.25">
      <c r="I187" s="4"/>
      <c r="J187" s="4"/>
      <c r="K187" s="4"/>
    </row>
    <row r="188" spans="9:11" x14ac:dyDescent="0.25">
      <c r="I188" s="4"/>
      <c r="J188" s="4"/>
      <c r="K188" s="4"/>
    </row>
    <row r="189" spans="9:11" x14ac:dyDescent="0.25">
      <c r="I189" s="4"/>
      <c r="J189" s="4"/>
      <c r="K189" s="4"/>
    </row>
    <row r="190" spans="9:11" x14ac:dyDescent="0.25">
      <c r="I190" s="4"/>
      <c r="J190" s="4"/>
      <c r="K190" s="4"/>
    </row>
    <row r="191" spans="9:11" x14ac:dyDescent="0.25">
      <c r="I191" s="4"/>
      <c r="J191" s="4"/>
      <c r="K191" s="4"/>
    </row>
    <row r="192" spans="9:11" x14ac:dyDescent="0.25">
      <c r="I192" s="4"/>
      <c r="J192" s="4"/>
      <c r="K192" s="4"/>
    </row>
    <row r="193" spans="9:11" x14ac:dyDescent="0.25">
      <c r="I193" s="4"/>
      <c r="J193" s="4"/>
      <c r="K193" s="4"/>
    </row>
    <row r="194" spans="9:11" x14ac:dyDescent="0.25">
      <c r="I194" s="4"/>
      <c r="J194" s="4"/>
      <c r="K194" s="4"/>
    </row>
    <row r="195" spans="9:11" x14ac:dyDescent="0.25">
      <c r="I195" s="4"/>
      <c r="J195" s="4"/>
      <c r="K195" s="4"/>
    </row>
    <row r="196" spans="9:11" x14ac:dyDescent="0.25">
      <c r="I196" s="4"/>
      <c r="J196" s="4"/>
      <c r="K196" s="4"/>
    </row>
    <row r="197" spans="9:11" x14ac:dyDescent="0.25">
      <c r="I197" s="4"/>
      <c r="J197" s="4"/>
      <c r="K197" s="4"/>
    </row>
    <row r="198" spans="9:11" x14ac:dyDescent="0.25">
      <c r="I198" s="4"/>
      <c r="J198" s="4"/>
      <c r="K198" s="4"/>
    </row>
    <row r="199" spans="9:11" x14ac:dyDescent="0.25">
      <c r="I199" s="4"/>
      <c r="J199" s="4"/>
      <c r="K199" s="4"/>
    </row>
    <row r="200" spans="9:11" x14ac:dyDescent="0.25">
      <c r="I200" s="4"/>
      <c r="J200" s="4"/>
      <c r="K200" s="4"/>
    </row>
    <row r="201" spans="9:11" x14ac:dyDescent="0.25">
      <c r="I201" s="4"/>
      <c r="J201" s="4"/>
      <c r="K201" s="4"/>
    </row>
    <row r="202" spans="9:11" x14ac:dyDescent="0.25">
      <c r="I202" s="4"/>
      <c r="J202" s="4"/>
      <c r="K202" s="4"/>
    </row>
    <row r="203" spans="9:11" x14ac:dyDescent="0.25">
      <c r="I203" s="4"/>
      <c r="J203" s="4"/>
      <c r="K203" s="4"/>
    </row>
    <row r="204" spans="9:11" x14ac:dyDescent="0.25">
      <c r="I204" s="4"/>
      <c r="J204" s="4"/>
      <c r="K204" s="4"/>
    </row>
    <row r="205" spans="9:11" x14ac:dyDescent="0.25">
      <c r="I205" s="4"/>
      <c r="J205" s="4"/>
      <c r="K205" s="4"/>
    </row>
    <row r="206" spans="9:11" x14ac:dyDescent="0.25">
      <c r="I206" s="4"/>
      <c r="J206" s="4"/>
      <c r="K206" s="4"/>
    </row>
    <row r="207" spans="9:11" x14ac:dyDescent="0.25">
      <c r="I207" s="4"/>
      <c r="J207" s="4"/>
      <c r="K207" s="4"/>
    </row>
    <row r="208" spans="9:11" x14ac:dyDescent="0.25">
      <c r="I208" s="4"/>
      <c r="J208" s="4"/>
      <c r="K208" s="4"/>
    </row>
    <row r="209" spans="9:11" x14ac:dyDescent="0.25">
      <c r="I209" s="4"/>
      <c r="J209" s="4"/>
      <c r="K209" s="4"/>
    </row>
    <row r="210" spans="9:11" x14ac:dyDescent="0.25">
      <c r="I210" s="4"/>
      <c r="J210" s="4"/>
      <c r="K210" s="4"/>
    </row>
    <row r="211" spans="9:11" x14ac:dyDescent="0.25">
      <c r="I211" s="4"/>
      <c r="J211" s="4"/>
      <c r="K211" s="4"/>
    </row>
    <row r="212" spans="9:11" x14ac:dyDescent="0.25">
      <c r="I212" s="4"/>
      <c r="J212" s="4"/>
      <c r="K212" s="4"/>
    </row>
    <row r="213" spans="9:11" x14ac:dyDescent="0.25">
      <c r="I213" s="4"/>
      <c r="J213" s="4"/>
      <c r="K213" s="4"/>
    </row>
    <row r="214" spans="9:11" x14ac:dyDescent="0.25">
      <c r="I214" s="4"/>
      <c r="J214" s="4"/>
      <c r="K214" s="4"/>
    </row>
    <row r="215" spans="9:11" x14ac:dyDescent="0.25">
      <c r="I215" s="4"/>
      <c r="J215" s="4"/>
      <c r="K215" s="4"/>
    </row>
    <row r="216" spans="9:11" x14ac:dyDescent="0.25">
      <c r="I216" s="4"/>
      <c r="J216" s="4"/>
      <c r="K216" s="4"/>
    </row>
    <row r="217" spans="9:11" x14ac:dyDescent="0.25">
      <c r="I217" s="4"/>
      <c r="J217" s="4"/>
      <c r="K217" s="4"/>
    </row>
    <row r="218" spans="9:11" x14ac:dyDescent="0.25">
      <c r="I218" s="4"/>
      <c r="J218" s="4"/>
      <c r="K218" s="4"/>
    </row>
    <row r="219" spans="9:11" x14ac:dyDescent="0.25">
      <c r="I219" s="4"/>
      <c r="J219" s="4"/>
      <c r="K219" s="4"/>
    </row>
    <row r="220" spans="9:11" x14ac:dyDescent="0.25">
      <c r="I220" s="4"/>
      <c r="J220" s="4"/>
      <c r="K220" s="4"/>
    </row>
    <row r="221" spans="9:11" x14ac:dyDescent="0.25">
      <c r="I221" s="4"/>
      <c r="J221" s="4"/>
      <c r="K221" s="4"/>
    </row>
    <row r="222" spans="9:11" x14ac:dyDescent="0.25">
      <c r="I222" s="4"/>
      <c r="J222" s="4"/>
      <c r="K222" s="4"/>
    </row>
    <row r="223" spans="9:11" x14ac:dyDescent="0.25">
      <c r="I223" s="4"/>
      <c r="J223" s="4"/>
      <c r="K223" s="4"/>
    </row>
    <row r="224" spans="9:11" x14ac:dyDescent="0.25">
      <c r="I224" s="4"/>
      <c r="J224" s="4"/>
      <c r="K224" s="4"/>
    </row>
    <row r="225" spans="9:11" x14ac:dyDescent="0.25">
      <c r="I225" s="4"/>
      <c r="J225" s="4"/>
      <c r="K225" s="4"/>
    </row>
    <row r="226" spans="9:11" x14ac:dyDescent="0.25">
      <c r="I226" s="4"/>
      <c r="J226" s="4"/>
      <c r="K226" s="4"/>
    </row>
    <row r="227" spans="9:11" x14ac:dyDescent="0.25">
      <c r="I227" s="4"/>
      <c r="J227" s="4"/>
      <c r="K227" s="4"/>
    </row>
    <row r="228" spans="9:11" x14ac:dyDescent="0.25">
      <c r="I228" s="4"/>
      <c r="J228" s="4"/>
      <c r="K228" s="4"/>
    </row>
    <row r="229" spans="9:11" x14ac:dyDescent="0.25">
      <c r="I229" s="4"/>
      <c r="J229" s="4"/>
      <c r="K229" s="4"/>
    </row>
    <row r="230" spans="9:11" x14ac:dyDescent="0.25">
      <c r="I230" s="4"/>
      <c r="J230" s="4"/>
      <c r="K230" s="4"/>
    </row>
    <row r="231" spans="9:11" x14ac:dyDescent="0.25">
      <c r="I231" s="4"/>
      <c r="J231" s="4"/>
      <c r="K231" s="4"/>
    </row>
    <row r="232" spans="9:11" x14ac:dyDescent="0.25">
      <c r="I232" s="4"/>
      <c r="J232" s="4"/>
      <c r="K232" s="4"/>
    </row>
    <row r="233" spans="9:11" x14ac:dyDescent="0.25">
      <c r="I233" s="4"/>
      <c r="J233" s="4"/>
      <c r="K233" s="4"/>
    </row>
    <row r="234" spans="9:11" x14ac:dyDescent="0.25">
      <c r="I234" s="4"/>
      <c r="J234" s="4"/>
      <c r="K234" s="4"/>
    </row>
    <row r="235" spans="9:11" x14ac:dyDescent="0.25">
      <c r="I235" s="4"/>
      <c r="J235" s="4"/>
      <c r="K235" s="4"/>
    </row>
    <row r="236" spans="9:11" x14ac:dyDescent="0.25">
      <c r="I236" s="4"/>
      <c r="J236" s="4"/>
      <c r="K236" s="4"/>
    </row>
    <row r="237" spans="9:11" x14ac:dyDescent="0.25">
      <c r="I237" s="4"/>
      <c r="J237" s="4"/>
      <c r="K237" s="4"/>
    </row>
    <row r="238" spans="9:11" x14ac:dyDescent="0.25">
      <c r="I238" s="4"/>
      <c r="J238" s="4"/>
      <c r="K238" s="4"/>
    </row>
    <row r="239" spans="9:11" x14ac:dyDescent="0.25">
      <c r="I239" s="4"/>
      <c r="J239" s="4"/>
      <c r="K239" s="4"/>
    </row>
    <row r="240" spans="9:11" x14ac:dyDescent="0.25">
      <c r="I240" s="4"/>
      <c r="J240" s="4"/>
      <c r="K240" s="4"/>
    </row>
    <row r="241" spans="9:11" x14ac:dyDescent="0.25">
      <c r="I241" s="4"/>
      <c r="J241" s="4"/>
      <c r="K241" s="4"/>
    </row>
    <row r="242" spans="9:11" x14ac:dyDescent="0.25">
      <c r="I242" s="4"/>
      <c r="J242" s="4"/>
      <c r="K242" s="4"/>
    </row>
    <row r="243" spans="9:11" x14ac:dyDescent="0.25">
      <c r="I243" s="4"/>
      <c r="J243" s="4"/>
      <c r="K243" s="4"/>
    </row>
    <row r="244" spans="9:11" x14ac:dyDescent="0.25">
      <c r="I244" s="4"/>
      <c r="J244" s="4"/>
      <c r="K244" s="4"/>
    </row>
    <row r="245" spans="9:11" x14ac:dyDescent="0.25">
      <c r="I245" s="4"/>
      <c r="J245" s="4"/>
      <c r="K245" s="4"/>
    </row>
    <row r="246" spans="9:11" x14ac:dyDescent="0.25">
      <c r="I246" s="4"/>
      <c r="J246" s="4"/>
      <c r="K246" s="4"/>
    </row>
    <row r="247" spans="9:11" x14ac:dyDescent="0.25">
      <c r="I247" s="4"/>
      <c r="J247" s="4"/>
      <c r="K247" s="4"/>
    </row>
    <row r="248" spans="9:11" x14ac:dyDescent="0.25">
      <c r="I248" s="4"/>
      <c r="J248" s="4"/>
      <c r="K248" s="4"/>
    </row>
    <row r="249" spans="9:11" x14ac:dyDescent="0.25">
      <c r="I249" s="4"/>
      <c r="J249" s="4"/>
      <c r="K249" s="4"/>
    </row>
    <row r="250" spans="9:11" x14ac:dyDescent="0.25">
      <c r="I250" s="4"/>
      <c r="J250" s="4"/>
      <c r="K250" s="4"/>
    </row>
    <row r="251" spans="9:11" x14ac:dyDescent="0.25">
      <c r="I251" s="4"/>
      <c r="J251" s="4"/>
      <c r="K251" s="4"/>
    </row>
    <row r="252" spans="9:11" x14ac:dyDescent="0.25">
      <c r="I252" s="4"/>
      <c r="J252" s="4"/>
      <c r="K252" s="4"/>
    </row>
    <row r="253" spans="9:11" x14ac:dyDescent="0.25">
      <c r="I253" s="4"/>
      <c r="J253" s="4"/>
      <c r="K253" s="4"/>
    </row>
    <row r="254" spans="9:11" x14ac:dyDescent="0.25">
      <c r="I254" s="4"/>
      <c r="J254" s="4"/>
      <c r="K254" s="4"/>
    </row>
    <row r="255" spans="9:11" x14ac:dyDescent="0.25">
      <c r="I255" s="4"/>
      <c r="J255" s="4"/>
      <c r="K255" s="4"/>
    </row>
    <row r="256" spans="9:11" x14ac:dyDescent="0.25">
      <c r="I256" s="4"/>
      <c r="J256" s="4"/>
      <c r="K256" s="4"/>
    </row>
    <row r="257" spans="9:11" x14ac:dyDescent="0.25">
      <c r="I257" s="4"/>
      <c r="J257" s="4"/>
      <c r="K257" s="4"/>
    </row>
    <row r="258" spans="9:11" x14ac:dyDescent="0.25">
      <c r="I258" s="4"/>
      <c r="J258" s="4"/>
      <c r="K258" s="4"/>
    </row>
    <row r="259" spans="9:11" x14ac:dyDescent="0.25">
      <c r="I259" s="4"/>
      <c r="J259" s="4"/>
      <c r="K259" s="4"/>
    </row>
    <row r="260" spans="9:11" x14ac:dyDescent="0.25">
      <c r="I260" s="4"/>
      <c r="J260" s="4"/>
      <c r="K260" s="4"/>
    </row>
    <row r="261" spans="9:11" x14ac:dyDescent="0.25">
      <c r="I261" s="4"/>
      <c r="J261" s="4"/>
      <c r="K261" s="4"/>
    </row>
    <row r="262" spans="9:11" x14ac:dyDescent="0.25">
      <c r="I262" s="4"/>
      <c r="J262" s="4"/>
      <c r="K262" s="4"/>
    </row>
    <row r="263" spans="9:11" x14ac:dyDescent="0.25">
      <c r="I263" s="4"/>
      <c r="J263" s="4"/>
      <c r="K263" s="4"/>
    </row>
    <row r="264" spans="9:11" x14ac:dyDescent="0.25">
      <c r="I264" s="4"/>
      <c r="J264" s="4"/>
      <c r="K264" s="4"/>
    </row>
    <row r="265" spans="9:11" x14ac:dyDescent="0.25">
      <c r="I265" s="4"/>
      <c r="J265" s="4"/>
      <c r="K265" s="4"/>
    </row>
    <row r="266" spans="9:11" x14ac:dyDescent="0.25">
      <c r="I266" s="4"/>
      <c r="J266" s="4"/>
      <c r="K266" s="4"/>
    </row>
    <row r="267" spans="9:11" x14ac:dyDescent="0.25">
      <c r="I267" s="4"/>
      <c r="J267" s="4"/>
      <c r="K267" s="4"/>
    </row>
    <row r="268" spans="9:11" x14ac:dyDescent="0.25">
      <c r="I268" s="4"/>
      <c r="J268" s="4"/>
      <c r="K268" s="4"/>
    </row>
    <row r="269" spans="9:11" x14ac:dyDescent="0.25">
      <c r="I269" s="4"/>
      <c r="J269" s="4"/>
      <c r="K269" s="4"/>
    </row>
    <row r="270" spans="9:11" x14ac:dyDescent="0.25">
      <c r="I270" s="4"/>
      <c r="J270" s="4"/>
      <c r="K270" s="4"/>
    </row>
    <row r="271" spans="9:11" x14ac:dyDescent="0.25">
      <c r="I271" s="4"/>
      <c r="J271" s="4"/>
      <c r="K271" s="4"/>
    </row>
    <row r="272" spans="9:11" x14ac:dyDescent="0.25">
      <c r="I272" s="4"/>
      <c r="J272" s="4"/>
      <c r="K272" s="4"/>
    </row>
    <row r="273" spans="9:11" x14ac:dyDescent="0.25">
      <c r="I273" s="4"/>
      <c r="J273" s="4"/>
      <c r="K273" s="4"/>
    </row>
    <row r="274" spans="9:11" x14ac:dyDescent="0.25">
      <c r="I274" s="4"/>
      <c r="J274" s="4"/>
      <c r="K274" s="4"/>
    </row>
    <row r="275" spans="9:11" x14ac:dyDescent="0.25">
      <c r="I275" s="4"/>
      <c r="J275" s="4"/>
      <c r="K275" s="4"/>
    </row>
    <row r="276" spans="9:11" x14ac:dyDescent="0.25">
      <c r="I276" s="4"/>
      <c r="J276" s="4"/>
      <c r="K276" s="4"/>
    </row>
    <row r="277" spans="9:11" x14ac:dyDescent="0.25">
      <c r="I277" s="4"/>
      <c r="J277" s="4"/>
      <c r="K277" s="4"/>
    </row>
    <row r="278" spans="9:11" x14ac:dyDescent="0.25">
      <c r="I278" s="4"/>
      <c r="J278" s="4"/>
      <c r="K278" s="4"/>
    </row>
    <row r="279" spans="9:11" x14ac:dyDescent="0.25">
      <c r="I279" s="4"/>
      <c r="J279" s="4"/>
      <c r="K279" s="4"/>
    </row>
    <row r="280" spans="9:11" x14ac:dyDescent="0.25">
      <c r="I280" s="4"/>
      <c r="J280" s="4"/>
      <c r="K280" s="4"/>
    </row>
    <row r="281" spans="9:11" x14ac:dyDescent="0.25">
      <c r="I281" s="4"/>
      <c r="J281" s="4"/>
      <c r="K281" s="4"/>
    </row>
    <row r="282" spans="9:11" x14ac:dyDescent="0.25">
      <c r="I282" s="4"/>
      <c r="J282" s="4"/>
      <c r="K282" s="4"/>
    </row>
    <row r="283" spans="9:11" x14ac:dyDescent="0.25">
      <c r="I283" s="4"/>
      <c r="J283" s="4"/>
      <c r="K283" s="4"/>
    </row>
    <row r="284" spans="9:11" x14ac:dyDescent="0.25">
      <c r="I284" s="4"/>
      <c r="J284" s="4"/>
      <c r="K284" s="4"/>
    </row>
    <row r="285" spans="9:11" x14ac:dyDescent="0.25">
      <c r="I285" s="4"/>
      <c r="J285" s="4"/>
      <c r="K285" s="4"/>
    </row>
    <row r="286" spans="9:11" x14ac:dyDescent="0.25">
      <c r="I286" s="4"/>
      <c r="J286" s="4"/>
      <c r="K286" s="4"/>
    </row>
    <row r="287" spans="9:11" x14ac:dyDescent="0.25">
      <c r="I287" s="4"/>
      <c r="J287" s="4"/>
      <c r="K287" s="4"/>
    </row>
    <row r="288" spans="9:11" x14ac:dyDescent="0.25">
      <c r="I288" s="4"/>
      <c r="J288" s="4"/>
      <c r="K288" s="4"/>
    </row>
    <row r="289" spans="9:11" x14ac:dyDescent="0.25">
      <c r="I289" s="4"/>
      <c r="J289" s="4"/>
      <c r="K289" s="4"/>
    </row>
    <row r="290" spans="9:11" x14ac:dyDescent="0.25">
      <c r="I290" s="4"/>
      <c r="J290" s="4"/>
      <c r="K290" s="4"/>
    </row>
    <row r="291" spans="9:11" x14ac:dyDescent="0.25">
      <c r="I291" s="4"/>
      <c r="J291" s="4"/>
      <c r="K291" s="4"/>
    </row>
    <row r="292" spans="9:11" x14ac:dyDescent="0.25">
      <c r="I292" s="4"/>
      <c r="J292" s="4"/>
      <c r="K292" s="4"/>
    </row>
    <row r="293" spans="9:11" x14ac:dyDescent="0.25">
      <c r="I293" s="4"/>
      <c r="J293" s="4"/>
      <c r="K293" s="4"/>
    </row>
    <row r="294" spans="9:11" x14ac:dyDescent="0.25">
      <c r="I294" s="4"/>
      <c r="J294" s="4"/>
      <c r="K294" s="4"/>
    </row>
    <row r="295" spans="9:11" x14ac:dyDescent="0.25">
      <c r="I295" s="4"/>
      <c r="J295" s="4"/>
      <c r="K295" s="4"/>
    </row>
    <row r="296" spans="9:11" x14ac:dyDescent="0.25">
      <c r="I296" s="4"/>
      <c r="J296" s="4"/>
      <c r="K296" s="4"/>
    </row>
    <row r="297" spans="9:11" x14ac:dyDescent="0.25">
      <c r="I297" s="4"/>
      <c r="J297" s="4"/>
      <c r="K297" s="4"/>
    </row>
    <row r="298" spans="9:11" x14ac:dyDescent="0.25">
      <c r="I298" s="4"/>
      <c r="J298" s="4"/>
      <c r="K298" s="4"/>
    </row>
    <row r="299" spans="9:11" x14ac:dyDescent="0.25">
      <c r="I299" s="4"/>
      <c r="J299" s="4"/>
      <c r="K299" s="4"/>
    </row>
    <row r="300" spans="9:11" x14ac:dyDescent="0.25">
      <c r="I300" s="4"/>
      <c r="J300" s="4"/>
      <c r="K300" s="4"/>
    </row>
    <row r="301" spans="9:11" x14ac:dyDescent="0.25">
      <c r="I301" s="4"/>
      <c r="J301" s="4"/>
      <c r="K301" s="4"/>
    </row>
    <row r="302" spans="9:11" x14ac:dyDescent="0.25">
      <c r="I302" s="4"/>
      <c r="J302" s="4"/>
      <c r="K302" s="4"/>
    </row>
    <row r="303" spans="9:11" x14ac:dyDescent="0.25">
      <c r="I303" s="4"/>
      <c r="J303" s="4"/>
      <c r="K303" s="4"/>
    </row>
    <row r="304" spans="9:11" x14ac:dyDescent="0.25">
      <c r="I304" s="4"/>
      <c r="J304" s="4"/>
      <c r="K304" s="4"/>
    </row>
    <row r="305" spans="9:11" x14ac:dyDescent="0.25">
      <c r="I305" s="4"/>
      <c r="J305" s="4"/>
      <c r="K305" s="4"/>
    </row>
    <row r="306" spans="9:11" x14ac:dyDescent="0.25">
      <c r="I306" s="4"/>
      <c r="J306" s="4"/>
      <c r="K306" s="4"/>
    </row>
    <row r="307" spans="9:11" x14ac:dyDescent="0.25">
      <c r="I307" s="4"/>
      <c r="J307" s="4"/>
      <c r="K307" s="4"/>
    </row>
    <row r="308" spans="9:11" x14ac:dyDescent="0.25">
      <c r="I308" s="4"/>
      <c r="J308" s="4"/>
      <c r="K308" s="4"/>
    </row>
    <row r="309" spans="9:11" x14ac:dyDescent="0.25">
      <c r="I309" s="4"/>
      <c r="J309" s="4"/>
      <c r="K309" s="4"/>
    </row>
    <row r="310" spans="9:11" x14ac:dyDescent="0.25">
      <c r="I310" s="4"/>
      <c r="J310" s="4"/>
      <c r="K310" s="4"/>
    </row>
    <row r="311" spans="9:11" x14ac:dyDescent="0.25">
      <c r="I311" s="4"/>
      <c r="J311" s="4"/>
      <c r="K311" s="4"/>
    </row>
    <row r="312" spans="9:11" x14ac:dyDescent="0.25">
      <c r="I312" s="4"/>
      <c r="J312" s="4"/>
      <c r="K312" s="4"/>
    </row>
    <row r="313" spans="9:11" x14ac:dyDescent="0.25">
      <c r="I313" s="4"/>
      <c r="J313" s="4"/>
      <c r="K313" s="4"/>
    </row>
    <row r="314" spans="9:11" x14ac:dyDescent="0.25">
      <c r="I314" s="4"/>
      <c r="J314" s="4"/>
      <c r="K314" s="4"/>
    </row>
    <row r="315" spans="9:11" x14ac:dyDescent="0.25">
      <c r="I315" s="4"/>
      <c r="J315" s="4"/>
      <c r="K315" s="4"/>
    </row>
    <row r="316" spans="9:11" x14ac:dyDescent="0.25">
      <c r="I316" s="4"/>
      <c r="J316" s="4"/>
      <c r="K316" s="4"/>
    </row>
    <row r="317" spans="9:11" x14ac:dyDescent="0.25">
      <c r="I317" s="4"/>
      <c r="J317" s="4"/>
      <c r="K317" s="4"/>
    </row>
    <row r="318" spans="9:11" x14ac:dyDescent="0.25">
      <c r="I318" s="4"/>
      <c r="J318" s="4"/>
      <c r="K318" s="4"/>
    </row>
    <row r="319" spans="9:11" x14ac:dyDescent="0.25">
      <c r="I319" s="4"/>
      <c r="J319" s="4"/>
      <c r="K319" s="4"/>
    </row>
    <row r="320" spans="9:11" x14ac:dyDescent="0.25">
      <c r="I320" s="4"/>
      <c r="J320" s="4"/>
      <c r="K320" s="4"/>
    </row>
    <row r="321" spans="9:11" x14ac:dyDescent="0.25">
      <c r="I321" s="4"/>
      <c r="J321" s="4"/>
      <c r="K321" s="4"/>
    </row>
    <row r="322" spans="9:11" x14ac:dyDescent="0.25">
      <c r="I322" s="4"/>
      <c r="J322" s="4"/>
      <c r="K322" s="4"/>
    </row>
    <row r="323" spans="9:11" x14ac:dyDescent="0.25">
      <c r="I323" s="4"/>
      <c r="J323" s="4"/>
      <c r="K323" s="4"/>
    </row>
    <row r="324" spans="9:11" x14ac:dyDescent="0.25">
      <c r="I324" s="4"/>
      <c r="J324" s="4"/>
      <c r="K324" s="4"/>
    </row>
    <row r="325" spans="9:11" x14ac:dyDescent="0.25">
      <c r="I325" s="4"/>
      <c r="J325" s="4"/>
      <c r="K325" s="4"/>
    </row>
    <row r="326" spans="9:11" x14ac:dyDescent="0.25">
      <c r="I326" s="4"/>
      <c r="J326" s="4"/>
      <c r="K326" s="4"/>
    </row>
    <row r="327" spans="9:11" x14ac:dyDescent="0.25">
      <c r="I327" s="4"/>
      <c r="J327" s="4"/>
      <c r="K327" s="4"/>
    </row>
    <row r="328" spans="9:11" x14ac:dyDescent="0.25">
      <c r="I328" s="4"/>
      <c r="J328" s="4"/>
      <c r="K328" s="4"/>
    </row>
    <row r="329" spans="9:11" x14ac:dyDescent="0.25">
      <c r="I329" s="4"/>
      <c r="J329" s="4"/>
      <c r="K329" s="4"/>
    </row>
    <row r="330" spans="9:11" x14ac:dyDescent="0.25">
      <c r="I330" s="4"/>
      <c r="J330" s="4"/>
      <c r="K330" s="4"/>
    </row>
    <row r="331" spans="9:11" x14ac:dyDescent="0.25">
      <c r="I331" s="4"/>
      <c r="J331" s="4"/>
      <c r="K331" s="4"/>
    </row>
    <row r="332" spans="9:11" x14ac:dyDescent="0.25">
      <c r="I332" s="4"/>
      <c r="J332" s="4"/>
      <c r="K332" s="4"/>
    </row>
    <row r="333" spans="9:11" x14ac:dyDescent="0.25">
      <c r="I333" s="4"/>
      <c r="J333" s="4"/>
      <c r="K333" s="4"/>
    </row>
    <row r="334" spans="9:11" x14ac:dyDescent="0.25">
      <c r="I334" s="4"/>
      <c r="J334" s="4"/>
      <c r="K334" s="4"/>
    </row>
    <row r="335" spans="9:11" x14ac:dyDescent="0.25">
      <c r="I335" s="4"/>
      <c r="J335" s="4"/>
      <c r="K335" s="4"/>
    </row>
    <row r="336" spans="9:11" x14ac:dyDescent="0.25">
      <c r="I336" s="4"/>
      <c r="J336" s="4"/>
      <c r="K336" s="4"/>
    </row>
    <row r="337" spans="9:11" x14ac:dyDescent="0.25">
      <c r="I337" s="4"/>
      <c r="J337" s="4"/>
      <c r="K337" s="4"/>
    </row>
    <row r="338" spans="9:11" x14ac:dyDescent="0.25">
      <c r="I338" s="4"/>
      <c r="J338" s="4"/>
      <c r="K338" s="4"/>
    </row>
    <row r="339" spans="9:11" x14ac:dyDescent="0.25">
      <c r="I339" s="4"/>
      <c r="J339" s="4"/>
      <c r="K339" s="4"/>
    </row>
    <row r="340" spans="9:11" x14ac:dyDescent="0.25">
      <c r="I340" s="4"/>
      <c r="J340" s="4"/>
      <c r="K340" s="4"/>
    </row>
    <row r="341" spans="9:11" x14ac:dyDescent="0.25">
      <c r="I341" s="4"/>
      <c r="J341" s="4"/>
      <c r="K341" s="4"/>
    </row>
    <row r="342" spans="9:11" x14ac:dyDescent="0.25">
      <c r="I342" s="4"/>
      <c r="J342" s="4"/>
      <c r="K342" s="4"/>
    </row>
    <row r="343" spans="9:11" x14ac:dyDescent="0.25">
      <c r="I343" s="4"/>
      <c r="J343" s="4"/>
      <c r="K343" s="4"/>
    </row>
    <row r="344" spans="9:11" x14ac:dyDescent="0.25">
      <c r="I344" s="4"/>
      <c r="J344" s="4"/>
      <c r="K344" s="4"/>
    </row>
    <row r="345" spans="9:11" x14ac:dyDescent="0.25">
      <c r="I345" s="4"/>
      <c r="J345" s="4"/>
      <c r="K345" s="4"/>
    </row>
    <row r="346" spans="9:11" x14ac:dyDescent="0.25">
      <c r="I346" s="4"/>
      <c r="J346" s="4"/>
      <c r="K346" s="4"/>
    </row>
    <row r="347" spans="9:11" x14ac:dyDescent="0.25">
      <c r="I347" s="4"/>
      <c r="J347" s="4"/>
      <c r="K347" s="4"/>
    </row>
    <row r="348" spans="9:11" x14ac:dyDescent="0.25">
      <c r="I348" s="4"/>
      <c r="J348" s="4"/>
      <c r="K348" s="4"/>
    </row>
    <row r="349" spans="9:11" x14ac:dyDescent="0.25">
      <c r="I349" s="4"/>
      <c r="J349" s="4"/>
      <c r="K349" s="4"/>
    </row>
    <row r="350" spans="9:11" x14ac:dyDescent="0.25">
      <c r="I350" s="4"/>
      <c r="J350" s="4"/>
      <c r="K350" s="4"/>
    </row>
    <row r="351" spans="9:11" x14ac:dyDescent="0.25">
      <c r="I351" s="4"/>
      <c r="J351" s="4"/>
      <c r="K351" s="4"/>
    </row>
    <row r="352" spans="9:11" x14ac:dyDescent="0.25">
      <c r="I352" s="4"/>
      <c r="J352" s="4"/>
      <c r="K352" s="4"/>
    </row>
    <row r="353" spans="9:11" x14ac:dyDescent="0.25">
      <c r="I353" s="4"/>
      <c r="J353" s="4"/>
      <c r="K353" s="4"/>
    </row>
    <row r="354" spans="9:11" x14ac:dyDescent="0.25">
      <c r="I354" s="4"/>
      <c r="J354" s="4"/>
      <c r="K354" s="4"/>
    </row>
    <row r="355" spans="9:11" x14ac:dyDescent="0.25">
      <c r="I355" s="4"/>
      <c r="J355" s="4"/>
      <c r="K355" s="4"/>
    </row>
    <row r="356" spans="9:11" x14ac:dyDescent="0.25">
      <c r="I356" s="4"/>
      <c r="J356" s="4"/>
      <c r="K356" s="4"/>
    </row>
    <row r="357" spans="9:11" x14ac:dyDescent="0.25">
      <c r="I357" s="4"/>
      <c r="J357" s="4"/>
      <c r="K357" s="4"/>
    </row>
    <row r="358" spans="9:11" x14ac:dyDescent="0.25">
      <c r="I358" s="4"/>
      <c r="J358" s="4"/>
      <c r="K358" s="4"/>
    </row>
    <row r="359" spans="9:11" x14ac:dyDescent="0.25">
      <c r="I359" s="4"/>
      <c r="J359" s="4"/>
      <c r="K359" s="4"/>
    </row>
    <row r="360" spans="9:11" x14ac:dyDescent="0.25">
      <c r="I360" s="4"/>
      <c r="J360" s="4"/>
      <c r="K360" s="4"/>
    </row>
    <row r="361" spans="9:11" x14ac:dyDescent="0.25">
      <c r="I361" s="4"/>
      <c r="J361" s="4"/>
      <c r="K361" s="4"/>
    </row>
    <row r="362" spans="9:11" x14ac:dyDescent="0.25">
      <c r="I362" s="4"/>
      <c r="J362" s="4"/>
      <c r="K362" s="4"/>
    </row>
    <row r="363" spans="9:11" x14ac:dyDescent="0.25">
      <c r="I363" s="4"/>
      <c r="J363" s="4"/>
      <c r="K363" s="4"/>
    </row>
    <row r="364" spans="9:11" x14ac:dyDescent="0.25">
      <c r="I364" s="4"/>
      <c r="J364" s="4"/>
      <c r="K364" s="4"/>
    </row>
    <row r="365" spans="9:11" x14ac:dyDescent="0.25">
      <c r="I365" s="4"/>
      <c r="J365" s="4"/>
      <c r="K365" s="4"/>
    </row>
    <row r="366" spans="9:11" x14ac:dyDescent="0.25">
      <c r="I366" s="4"/>
      <c r="J366" s="4"/>
      <c r="K366" s="4"/>
    </row>
    <row r="367" spans="9:11" x14ac:dyDescent="0.25">
      <c r="I367" s="4"/>
      <c r="J367" s="4"/>
      <c r="K367" s="4"/>
    </row>
    <row r="368" spans="9:11" x14ac:dyDescent="0.25">
      <c r="I368" s="4"/>
      <c r="J368" s="4"/>
      <c r="K368" s="4"/>
    </row>
    <row r="369" spans="9:11" x14ac:dyDescent="0.25">
      <c r="I369" s="4"/>
      <c r="J369" s="4"/>
      <c r="K369" s="4"/>
    </row>
    <row r="370" spans="9:11" x14ac:dyDescent="0.25">
      <c r="I370" s="4"/>
      <c r="J370" s="4"/>
      <c r="K370" s="4"/>
    </row>
    <row r="371" spans="9:11" x14ac:dyDescent="0.25">
      <c r="I371" s="4"/>
      <c r="J371" s="4"/>
      <c r="K371" s="4"/>
    </row>
    <row r="372" spans="9:11" x14ac:dyDescent="0.25">
      <c r="I372" s="4"/>
      <c r="J372" s="4"/>
      <c r="K372" s="4"/>
    </row>
    <row r="373" spans="9:11" x14ac:dyDescent="0.25">
      <c r="I373" s="4"/>
      <c r="J373" s="4"/>
      <c r="K373" s="4"/>
    </row>
    <row r="374" spans="9:11" x14ac:dyDescent="0.25">
      <c r="I374" s="4"/>
      <c r="J374" s="4"/>
      <c r="K374" s="4"/>
    </row>
    <row r="375" spans="9:11" x14ac:dyDescent="0.25">
      <c r="I375" s="4"/>
      <c r="J375" s="4"/>
      <c r="K375" s="4"/>
    </row>
    <row r="376" spans="9:11" x14ac:dyDescent="0.25">
      <c r="I376" s="4"/>
      <c r="J376" s="4"/>
      <c r="K376" s="4"/>
    </row>
    <row r="377" spans="9:11" x14ac:dyDescent="0.25">
      <c r="I377" s="4"/>
      <c r="J377" s="4"/>
      <c r="K377" s="4"/>
    </row>
    <row r="378" spans="9:11" x14ac:dyDescent="0.25">
      <c r="I378" s="4"/>
      <c r="J378" s="4"/>
      <c r="K378" s="4"/>
    </row>
    <row r="379" spans="9:11" x14ac:dyDescent="0.25">
      <c r="I379" s="4"/>
      <c r="J379" s="4"/>
      <c r="K379" s="4"/>
    </row>
    <row r="380" spans="9:11" x14ac:dyDescent="0.25">
      <c r="I380" s="4"/>
      <c r="J380" s="4"/>
      <c r="K380" s="4"/>
    </row>
    <row r="381" spans="9:11" x14ac:dyDescent="0.25">
      <c r="I381" s="4"/>
      <c r="J381" s="4"/>
      <c r="K381" s="4"/>
    </row>
    <row r="382" spans="9:11" x14ac:dyDescent="0.25">
      <c r="I382" s="4"/>
      <c r="J382" s="4"/>
      <c r="K382" s="4"/>
    </row>
    <row r="383" spans="9:11" x14ac:dyDescent="0.25">
      <c r="I383" s="4"/>
      <c r="J383" s="4"/>
      <c r="K383" s="4"/>
    </row>
    <row r="384" spans="9:11" x14ac:dyDescent="0.25">
      <c r="I384" s="4"/>
      <c r="J384" s="4"/>
      <c r="K384" s="4"/>
    </row>
    <row r="385" spans="9:11" x14ac:dyDescent="0.25">
      <c r="I385" s="4"/>
      <c r="J385" s="4"/>
      <c r="K385" s="4"/>
    </row>
    <row r="386" spans="9:11" x14ac:dyDescent="0.25">
      <c r="I386" s="4"/>
      <c r="J386" s="4"/>
      <c r="K386" s="4"/>
    </row>
    <row r="387" spans="9:11" x14ac:dyDescent="0.25">
      <c r="I387" s="4"/>
      <c r="J387" s="4"/>
      <c r="K387" s="4"/>
    </row>
    <row r="388" spans="9:11" x14ac:dyDescent="0.25">
      <c r="I388" s="4"/>
      <c r="J388" s="4"/>
      <c r="K388" s="4"/>
    </row>
    <row r="389" spans="9:11" x14ac:dyDescent="0.25">
      <c r="I389" s="4"/>
      <c r="J389" s="4"/>
      <c r="K389" s="4"/>
    </row>
    <row r="390" spans="9:11" x14ac:dyDescent="0.25">
      <c r="I390" s="4"/>
      <c r="J390" s="4"/>
      <c r="K390" s="4"/>
    </row>
    <row r="391" spans="9:11" x14ac:dyDescent="0.25">
      <c r="I391" s="4"/>
      <c r="J391" s="4"/>
      <c r="K391" s="4"/>
    </row>
    <row r="392" spans="9:11" x14ac:dyDescent="0.25">
      <c r="I392" s="4"/>
      <c r="J392" s="4"/>
      <c r="K392" s="4"/>
    </row>
    <row r="393" spans="9:11" x14ac:dyDescent="0.25">
      <c r="I393" s="4"/>
      <c r="J393" s="4"/>
      <c r="K393" s="4"/>
    </row>
    <row r="394" spans="9:11" x14ac:dyDescent="0.25">
      <c r="I394" s="4"/>
      <c r="J394" s="4"/>
      <c r="K394" s="4"/>
    </row>
    <row r="395" spans="9:11" x14ac:dyDescent="0.25">
      <c r="I395" s="4"/>
      <c r="J395" s="4"/>
      <c r="K395" s="4"/>
    </row>
    <row r="396" spans="9:11" x14ac:dyDescent="0.25">
      <c r="I396" s="4"/>
      <c r="J396" s="4"/>
      <c r="K396" s="4"/>
    </row>
    <row r="397" spans="9:11" x14ac:dyDescent="0.25">
      <c r="I397" s="4"/>
      <c r="J397" s="4"/>
      <c r="K397" s="4"/>
    </row>
    <row r="398" spans="9:11" x14ac:dyDescent="0.25">
      <c r="I398" s="4"/>
      <c r="J398" s="4"/>
      <c r="K398" s="4"/>
    </row>
    <row r="399" spans="9:11" x14ac:dyDescent="0.25">
      <c r="I399" s="4"/>
      <c r="J399" s="4"/>
      <c r="K399" s="4"/>
    </row>
    <row r="400" spans="9:11" x14ac:dyDescent="0.25">
      <c r="I400" s="4"/>
      <c r="J400" s="4"/>
      <c r="K400" s="4"/>
    </row>
    <row r="401" spans="9:11" x14ac:dyDescent="0.25">
      <c r="I401" s="4"/>
      <c r="J401" s="4"/>
      <c r="K401" s="4"/>
    </row>
    <row r="402" spans="9:11" x14ac:dyDescent="0.25">
      <c r="I402" s="4"/>
      <c r="J402" s="4"/>
      <c r="K402" s="4"/>
    </row>
    <row r="403" spans="9:11" x14ac:dyDescent="0.25">
      <c r="I403" s="4"/>
      <c r="J403" s="4"/>
      <c r="K403" s="4"/>
    </row>
    <row r="404" spans="9:11" x14ac:dyDescent="0.25">
      <c r="I404" s="4"/>
      <c r="J404" s="4"/>
      <c r="K404" s="4"/>
    </row>
    <row r="405" spans="9:11" x14ac:dyDescent="0.25">
      <c r="I405" s="4"/>
      <c r="J405" s="4"/>
      <c r="K405" s="4"/>
    </row>
    <row r="406" spans="9:11" x14ac:dyDescent="0.25">
      <c r="I406" s="4"/>
      <c r="J406" s="4"/>
      <c r="K406" s="4"/>
    </row>
    <row r="407" spans="9:11" x14ac:dyDescent="0.25">
      <c r="I407" s="4"/>
      <c r="J407" s="4"/>
      <c r="K407" s="4"/>
    </row>
    <row r="408" spans="9:11" x14ac:dyDescent="0.25">
      <c r="I408" s="4"/>
      <c r="J408" s="4"/>
      <c r="K408" s="4"/>
    </row>
    <row r="409" spans="9:11" x14ac:dyDescent="0.25">
      <c r="I409" s="4"/>
      <c r="J409" s="4"/>
      <c r="K409" s="4"/>
    </row>
    <row r="410" spans="9:11" x14ac:dyDescent="0.25">
      <c r="I410" s="4"/>
      <c r="J410" s="4"/>
      <c r="K410" s="4"/>
    </row>
    <row r="411" spans="9:11" x14ac:dyDescent="0.25">
      <c r="I411" s="4"/>
      <c r="J411" s="4"/>
      <c r="K411" s="4"/>
    </row>
    <row r="412" spans="9:11" x14ac:dyDescent="0.25">
      <c r="I412" s="4"/>
      <c r="J412" s="4"/>
      <c r="K412" s="4"/>
    </row>
    <row r="413" spans="9:11" x14ac:dyDescent="0.25">
      <c r="I413" s="4"/>
      <c r="J413" s="4"/>
      <c r="K413" s="4"/>
    </row>
    <row r="414" spans="9:11" x14ac:dyDescent="0.25">
      <c r="I414" s="4"/>
      <c r="J414" s="4"/>
      <c r="K414" s="4"/>
    </row>
    <row r="415" spans="9:11" x14ac:dyDescent="0.25">
      <c r="I415" s="4"/>
      <c r="J415" s="4"/>
      <c r="K415" s="4"/>
    </row>
    <row r="416" spans="9:11" x14ac:dyDescent="0.25">
      <c r="I416" s="4"/>
      <c r="J416" s="4"/>
      <c r="K416" s="4"/>
    </row>
    <row r="417" spans="9:11" x14ac:dyDescent="0.25">
      <c r="I417" s="4"/>
      <c r="J417" s="4"/>
      <c r="K417" s="4"/>
    </row>
    <row r="418" spans="9:11" x14ac:dyDescent="0.25">
      <c r="I418" s="4"/>
      <c r="J418" s="4"/>
      <c r="K418" s="4"/>
    </row>
    <row r="419" spans="9:11" x14ac:dyDescent="0.25">
      <c r="I419" s="4"/>
      <c r="J419" s="4"/>
      <c r="K419" s="4"/>
    </row>
    <row r="420" spans="9:11" x14ac:dyDescent="0.25">
      <c r="I420" s="4"/>
      <c r="J420" s="4"/>
      <c r="K420" s="4"/>
    </row>
    <row r="421" spans="9:11" x14ac:dyDescent="0.25">
      <c r="I421" s="4"/>
      <c r="J421" s="4"/>
      <c r="K421" s="4"/>
    </row>
    <row r="422" spans="9:11" x14ac:dyDescent="0.25">
      <c r="I422" s="4"/>
      <c r="J422" s="4"/>
      <c r="K422" s="4"/>
    </row>
    <row r="423" spans="9:11" x14ac:dyDescent="0.25">
      <c r="I423" s="4"/>
      <c r="J423" s="4"/>
      <c r="K423" s="4"/>
    </row>
    <row r="424" spans="9:11" x14ac:dyDescent="0.25">
      <c r="I424" s="4"/>
      <c r="J424" s="4"/>
      <c r="K424" s="4"/>
    </row>
    <row r="425" spans="9:11" x14ac:dyDescent="0.25">
      <c r="I425" s="4"/>
      <c r="J425" s="4"/>
      <c r="K425" s="4"/>
    </row>
    <row r="426" spans="9:11" x14ac:dyDescent="0.25">
      <c r="I426" s="4"/>
      <c r="J426" s="4"/>
      <c r="K426" s="4"/>
    </row>
    <row r="427" spans="9:11" x14ac:dyDescent="0.25">
      <c r="I427" s="4"/>
      <c r="J427" s="4"/>
      <c r="K427" s="4"/>
    </row>
    <row r="428" spans="9:11" x14ac:dyDescent="0.25">
      <c r="I428" s="4"/>
      <c r="J428" s="4"/>
      <c r="K428" s="4"/>
    </row>
    <row r="429" spans="9:11" x14ac:dyDescent="0.25">
      <c r="I429" s="4"/>
      <c r="J429" s="4"/>
      <c r="K429" s="4"/>
    </row>
    <row r="430" spans="9:11" x14ac:dyDescent="0.25">
      <c r="I430" s="4"/>
      <c r="J430" s="4"/>
      <c r="K430" s="4"/>
    </row>
    <row r="431" spans="9:11" x14ac:dyDescent="0.25">
      <c r="I431" s="4"/>
      <c r="J431" s="4"/>
      <c r="K431" s="4"/>
    </row>
    <row r="432" spans="9:11" x14ac:dyDescent="0.25">
      <c r="I432" s="4"/>
      <c r="J432" s="4"/>
      <c r="K432" s="4"/>
    </row>
    <row r="433" spans="9:11" x14ac:dyDescent="0.25">
      <c r="I433" s="4"/>
      <c r="J433" s="4"/>
      <c r="K433" s="4"/>
    </row>
    <row r="434" spans="9:11" x14ac:dyDescent="0.25">
      <c r="I434" s="4"/>
      <c r="J434" s="4"/>
      <c r="K434" s="4"/>
    </row>
    <row r="435" spans="9:11" x14ac:dyDescent="0.25">
      <c r="I435" s="4"/>
      <c r="J435" s="4"/>
      <c r="K435" s="4"/>
    </row>
    <row r="436" spans="9:11" x14ac:dyDescent="0.25">
      <c r="I436" s="4"/>
      <c r="J436" s="4"/>
      <c r="K436" s="4"/>
    </row>
    <row r="437" spans="9:11" x14ac:dyDescent="0.25">
      <c r="I437" s="4"/>
      <c r="J437" s="4"/>
      <c r="K437" s="4"/>
    </row>
    <row r="438" spans="9:11" x14ac:dyDescent="0.25">
      <c r="I438" s="4"/>
      <c r="J438" s="4"/>
      <c r="K438" s="4"/>
    </row>
    <row r="439" spans="9:11" x14ac:dyDescent="0.25">
      <c r="I439" s="4"/>
      <c r="J439" s="4"/>
      <c r="K439" s="4"/>
    </row>
    <row r="440" spans="9:11" x14ac:dyDescent="0.25">
      <c r="I440" s="4"/>
      <c r="J440" s="4"/>
      <c r="K440" s="4"/>
    </row>
    <row r="441" spans="9:11" x14ac:dyDescent="0.25">
      <c r="I441" s="4"/>
      <c r="J441" s="4"/>
      <c r="K441" s="4"/>
    </row>
    <row r="442" spans="9:11" x14ac:dyDescent="0.25">
      <c r="I442" s="4"/>
      <c r="J442" s="4"/>
      <c r="K442" s="4"/>
    </row>
    <row r="443" spans="9:11" x14ac:dyDescent="0.25">
      <c r="I443" s="4"/>
      <c r="J443" s="4"/>
      <c r="K443" s="4"/>
    </row>
    <row r="444" spans="9:11" x14ac:dyDescent="0.25">
      <c r="I444" s="4"/>
      <c r="J444" s="4"/>
      <c r="K444" s="4"/>
    </row>
    <row r="445" spans="9:11" x14ac:dyDescent="0.25">
      <c r="I445" s="4"/>
      <c r="J445" s="4"/>
      <c r="K445" s="4"/>
    </row>
    <row r="446" spans="9:11" x14ac:dyDescent="0.25">
      <c r="I446" s="4"/>
      <c r="J446" s="4"/>
      <c r="K446" s="4"/>
    </row>
    <row r="447" spans="9:11" x14ac:dyDescent="0.25">
      <c r="I447" s="4"/>
      <c r="J447" s="4"/>
      <c r="K447" s="4"/>
    </row>
    <row r="448" spans="9:11" x14ac:dyDescent="0.25">
      <c r="I448" s="4"/>
      <c r="J448" s="4"/>
      <c r="K448" s="4"/>
    </row>
    <row r="449" spans="9:11" x14ac:dyDescent="0.25">
      <c r="I449" s="4"/>
      <c r="J449" s="4"/>
      <c r="K449" s="4"/>
    </row>
    <row r="450" spans="9:11" x14ac:dyDescent="0.25">
      <c r="I450" s="4"/>
      <c r="J450" s="4"/>
      <c r="K450" s="4"/>
    </row>
    <row r="451" spans="9:11" x14ac:dyDescent="0.25">
      <c r="I451" s="4"/>
      <c r="J451" s="4"/>
      <c r="K451" s="4"/>
    </row>
    <row r="452" spans="9:11" x14ac:dyDescent="0.25">
      <c r="I452" s="4"/>
      <c r="J452" s="4"/>
      <c r="K452" s="4"/>
    </row>
    <row r="453" spans="9:11" x14ac:dyDescent="0.25">
      <c r="I453" s="4"/>
      <c r="J453" s="4"/>
      <c r="K453" s="4"/>
    </row>
    <row r="454" spans="9:11" x14ac:dyDescent="0.25">
      <c r="I454" s="4"/>
      <c r="J454" s="4"/>
      <c r="K454" s="4"/>
    </row>
    <row r="455" spans="9:11" x14ac:dyDescent="0.25">
      <c r="I455" s="4"/>
      <c r="J455" s="4"/>
      <c r="K455" s="4"/>
    </row>
    <row r="456" spans="9:11" x14ac:dyDescent="0.25">
      <c r="I456" s="4"/>
      <c r="J456" s="4"/>
      <c r="K456" s="4"/>
    </row>
    <row r="457" spans="9:11" x14ac:dyDescent="0.25">
      <c r="I457" s="4"/>
      <c r="J457" s="4"/>
      <c r="K457" s="4"/>
    </row>
    <row r="458" spans="9:11" x14ac:dyDescent="0.25">
      <c r="I458" s="4"/>
      <c r="J458" s="4"/>
      <c r="K458" s="4"/>
    </row>
    <row r="459" spans="9:11" x14ac:dyDescent="0.25">
      <c r="I459" s="4"/>
      <c r="J459" s="4"/>
      <c r="K459" s="4"/>
    </row>
    <row r="460" spans="9:11" x14ac:dyDescent="0.25">
      <c r="I460" s="4"/>
      <c r="J460" s="4"/>
      <c r="K460" s="4"/>
    </row>
    <row r="461" spans="9:11" x14ac:dyDescent="0.25">
      <c r="I461" s="4"/>
      <c r="J461" s="4"/>
      <c r="K461" s="4"/>
    </row>
    <row r="462" spans="9:11" x14ac:dyDescent="0.25">
      <c r="I462" s="4"/>
      <c r="J462" s="4"/>
      <c r="K462" s="4"/>
    </row>
    <row r="463" spans="9:11" x14ac:dyDescent="0.25">
      <c r="I463" s="4"/>
      <c r="J463" s="4"/>
      <c r="K463" s="4"/>
    </row>
    <row r="464" spans="9:11" x14ac:dyDescent="0.25">
      <c r="I464" s="4"/>
      <c r="J464" s="4"/>
      <c r="K464" s="4"/>
    </row>
    <row r="465" spans="9:11" x14ac:dyDescent="0.25">
      <c r="I465" s="4"/>
      <c r="J465" s="4"/>
      <c r="K465" s="4"/>
    </row>
    <row r="466" spans="9:11" x14ac:dyDescent="0.25">
      <c r="I466" s="4"/>
      <c r="J466" s="4"/>
      <c r="K466" s="4"/>
    </row>
    <row r="467" spans="9:11" x14ac:dyDescent="0.25">
      <c r="I467" s="4"/>
      <c r="J467" s="4"/>
      <c r="K467" s="4"/>
    </row>
    <row r="468" spans="9:11" x14ac:dyDescent="0.25">
      <c r="I468" s="4"/>
      <c r="J468" s="4"/>
      <c r="K468" s="4"/>
    </row>
    <row r="469" spans="9:11" x14ac:dyDescent="0.25">
      <c r="I469" s="4"/>
      <c r="J469" s="4"/>
      <c r="K469" s="4"/>
    </row>
    <row r="470" spans="9:11" x14ac:dyDescent="0.25">
      <c r="I470" s="4"/>
      <c r="J470" s="4"/>
      <c r="K470" s="4"/>
    </row>
    <row r="471" spans="9:11" x14ac:dyDescent="0.25">
      <c r="I471" s="4"/>
      <c r="J471" s="4"/>
      <c r="K471" s="4"/>
    </row>
    <row r="472" spans="9:11" x14ac:dyDescent="0.25">
      <c r="I472" s="4"/>
      <c r="J472" s="4"/>
      <c r="K472" s="4"/>
    </row>
    <row r="473" spans="9:11" x14ac:dyDescent="0.25">
      <c r="I473" s="4"/>
      <c r="J473" s="4"/>
      <c r="K473" s="4"/>
    </row>
    <row r="474" spans="9:11" x14ac:dyDescent="0.25">
      <c r="I474" s="4"/>
      <c r="J474" s="4"/>
      <c r="K474" s="4"/>
    </row>
    <row r="475" spans="9:11" x14ac:dyDescent="0.25">
      <c r="I475" s="4"/>
      <c r="J475" s="4"/>
      <c r="K475" s="4"/>
    </row>
    <row r="476" spans="9:11" x14ac:dyDescent="0.25">
      <c r="I476" s="4"/>
      <c r="J476" s="4"/>
      <c r="K476" s="4"/>
    </row>
    <row r="477" spans="9:11" x14ac:dyDescent="0.25">
      <c r="I477" s="4"/>
      <c r="J477" s="4"/>
      <c r="K477" s="4"/>
    </row>
    <row r="478" spans="9:11" x14ac:dyDescent="0.25">
      <c r="I478" s="4"/>
      <c r="J478" s="4"/>
      <c r="K478" s="4"/>
    </row>
    <row r="479" spans="9:11" x14ac:dyDescent="0.25">
      <c r="I479" s="4"/>
      <c r="J479" s="4"/>
      <c r="K479" s="4"/>
    </row>
    <row r="480" spans="9:11" x14ac:dyDescent="0.25">
      <c r="I480" s="4"/>
      <c r="J480" s="4"/>
      <c r="K480" s="4"/>
    </row>
    <row r="481" spans="9:11" x14ac:dyDescent="0.25">
      <c r="I481" s="4"/>
      <c r="J481" s="4"/>
      <c r="K481" s="4"/>
    </row>
    <row r="482" spans="9:11" x14ac:dyDescent="0.25">
      <c r="I482" s="4"/>
      <c r="J482" s="4"/>
      <c r="K482" s="4"/>
    </row>
    <row r="483" spans="9:11" x14ac:dyDescent="0.25">
      <c r="I483" s="4"/>
      <c r="J483" s="4"/>
      <c r="K483" s="4"/>
    </row>
    <row r="484" spans="9:11" x14ac:dyDescent="0.25">
      <c r="I484" s="4"/>
      <c r="J484" s="4"/>
      <c r="K484" s="4"/>
    </row>
    <row r="485" spans="9:11" x14ac:dyDescent="0.25">
      <c r="I485" s="4"/>
      <c r="J485" s="4"/>
      <c r="K485" s="4"/>
    </row>
    <row r="486" spans="9:11" x14ac:dyDescent="0.25">
      <c r="I486" s="4"/>
      <c r="J486" s="4"/>
      <c r="K486" s="4"/>
    </row>
    <row r="487" spans="9:11" x14ac:dyDescent="0.25">
      <c r="I487" s="4"/>
      <c r="J487" s="4"/>
      <c r="K487" s="4"/>
    </row>
    <row r="488" spans="9:11" x14ac:dyDescent="0.25">
      <c r="I488" s="4"/>
      <c r="J488" s="4"/>
      <c r="K488" s="4"/>
    </row>
    <row r="489" spans="9:11" x14ac:dyDescent="0.25">
      <c r="I489" s="4"/>
      <c r="J489" s="4"/>
      <c r="K489" s="4"/>
    </row>
    <row r="490" spans="9:11" x14ac:dyDescent="0.25">
      <c r="I490" s="4"/>
      <c r="J490" s="4"/>
      <c r="K490" s="4"/>
    </row>
    <row r="491" spans="9:11" x14ac:dyDescent="0.25">
      <c r="I491" s="4"/>
      <c r="J491" s="4"/>
      <c r="K491" s="4"/>
    </row>
    <row r="492" spans="9:11" x14ac:dyDescent="0.25">
      <c r="I492" s="4"/>
      <c r="J492" s="4"/>
      <c r="K492" s="4"/>
    </row>
    <row r="493" spans="9:11" x14ac:dyDescent="0.25">
      <c r="I493" s="4"/>
      <c r="J493" s="4"/>
      <c r="K493" s="4"/>
    </row>
    <row r="494" spans="9:11" x14ac:dyDescent="0.25">
      <c r="I494" s="4"/>
      <c r="J494" s="4"/>
      <c r="K494" s="4"/>
    </row>
    <row r="495" spans="9:11" x14ac:dyDescent="0.25">
      <c r="I495" s="4"/>
      <c r="J495" s="4"/>
      <c r="K495" s="4"/>
    </row>
    <row r="496" spans="9:11" x14ac:dyDescent="0.25">
      <c r="I496" s="4"/>
      <c r="J496" s="4"/>
      <c r="K496" s="4"/>
    </row>
    <row r="497" spans="9:11" x14ac:dyDescent="0.25">
      <c r="I497" s="4"/>
      <c r="J497" s="4"/>
      <c r="K497" s="4"/>
    </row>
    <row r="498" spans="9:11" x14ac:dyDescent="0.25">
      <c r="I498" s="4"/>
      <c r="J498" s="4"/>
      <c r="K498" s="4"/>
    </row>
    <row r="499" spans="9:11" x14ac:dyDescent="0.25">
      <c r="I499" s="4"/>
      <c r="J499" s="4"/>
      <c r="K499" s="4"/>
    </row>
    <row r="500" spans="9:11" x14ac:dyDescent="0.25">
      <c r="I500" s="4"/>
      <c r="J500" s="4"/>
      <c r="K500" s="4"/>
    </row>
    <row r="501" spans="9:11" x14ac:dyDescent="0.25">
      <c r="I501" s="4"/>
      <c r="J501" s="4"/>
      <c r="K501" s="4"/>
    </row>
    <row r="502" spans="9:11" x14ac:dyDescent="0.25">
      <c r="I502" s="4"/>
      <c r="J502" s="4"/>
      <c r="K502" s="4"/>
    </row>
    <row r="503" spans="9:11" x14ac:dyDescent="0.25">
      <c r="I503" s="4"/>
      <c r="J503" s="4"/>
      <c r="K503" s="4"/>
    </row>
    <row r="504" spans="9:11" x14ac:dyDescent="0.25">
      <c r="I504" s="4"/>
      <c r="J504" s="4"/>
      <c r="K504" s="4"/>
    </row>
    <row r="505" spans="9:11" x14ac:dyDescent="0.25">
      <c r="I505" s="4"/>
      <c r="J505" s="4"/>
      <c r="K505" s="4"/>
    </row>
    <row r="506" spans="9:11" x14ac:dyDescent="0.25">
      <c r="I506" s="4"/>
      <c r="J506" s="4"/>
      <c r="K506" s="4"/>
    </row>
    <row r="507" spans="9:11" x14ac:dyDescent="0.25">
      <c r="I507" s="4"/>
      <c r="J507" s="4"/>
      <c r="K507" s="4"/>
    </row>
    <row r="508" spans="9:11" x14ac:dyDescent="0.25">
      <c r="I508" s="4"/>
      <c r="J508" s="4"/>
      <c r="K508" s="4"/>
    </row>
    <row r="509" spans="9:11" x14ac:dyDescent="0.25">
      <c r="I509" s="4"/>
      <c r="J509" s="4"/>
      <c r="K509" s="4"/>
    </row>
    <row r="510" spans="9:11" x14ac:dyDescent="0.25">
      <c r="I510" s="4"/>
      <c r="J510" s="4"/>
      <c r="K510" s="4"/>
    </row>
    <row r="511" spans="9:11" x14ac:dyDescent="0.25">
      <c r="I511" s="4"/>
      <c r="J511" s="4"/>
      <c r="K511" s="4"/>
    </row>
    <row r="512" spans="9:11" x14ac:dyDescent="0.25">
      <c r="I512" s="4"/>
      <c r="J512" s="4"/>
      <c r="K512" s="4"/>
    </row>
    <row r="513" spans="9:11" x14ac:dyDescent="0.25">
      <c r="I513" s="4"/>
      <c r="J513" s="4"/>
      <c r="K513" s="4"/>
    </row>
    <row r="514" spans="9:11" x14ac:dyDescent="0.25">
      <c r="I514" s="4"/>
      <c r="J514" s="4"/>
      <c r="K514" s="4"/>
    </row>
    <row r="515" spans="9:11" x14ac:dyDescent="0.25">
      <c r="I515" s="4"/>
      <c r="J515" s="4"/>
      <c r="K515" s="4"/>
    </row>
    <row r="516" spans="9:11" x14ac:dyDescent="0.25">
      <c r="I516" s="4"/>
      <c r="J516" s="4"/>
      <c r="K516" s="4"/>
    </row>
    <row r="517" spans="9:11" x14ac:dyDescent="0.25">
      <c r="I517" s="4"/>
      <c r="J517" s="4"/>
      <c r="K517" s="4"/>
    </row>
    <row r="518" spans="9:11" x14ac:dyDescent="0.25">
      <c r="I518" s="4"/>
      <c r="J518" s="4"/>
      <c r="K518" s="4"/>
    </row>
    <row r="519" spans="9:11" x14ac:dyDescent="0.25">
      <c r="I519" s="4"/>
      <c r="J519" s="4"/>
      <c r="K519" s="4"/>
    </row>
    <row r="520" spans="9:11" x14ac:dyDescent="0.25">
      <c r="I520" s="4"/>
      <c r="J520" s="4"/>
      <c r="K520" s="4"/>
    </row>
    <row r="521" spans="9:11" x14ac:dyDescent="0.25">
      <c r="I521" s="4"/>
      <c r="J521" s="4"/>
      <c r="K521" s="4"/>
    </row>
    <row r="522" spans="9:11" x14ac:dyDescent="0.25">
      <c r="I522" s="4"/>
      <c r="J522" s="4"/>
      <c r="K522" s="4"/>
    </row>
    <row r="523" spans="9:11" x14ac:dyDescent="0.25">
      <c r="I523" s="4"/>
      <c r="J523" s="4"/>
      <c r="K523" s="4"/>
    </row>
  </sheetData>
  <mergeCells count="2">
    <mergeCell ref="A2:V2"/>
    <mergeCell ref="A1:V1"/>
  </mergeCells>
  <phoneticPr fontId="11" type="noConversion"/>
  <conditionalFormatting sqref="L8:L9 O5:O63 L35:L523">
    <cfRule type="cellIs" dxfId="3" priority="1" operator="greaterThan">
      <formula>0</formula>
    </cfRule>
    <cfRule type="cellIs" dxfId="2" priority="2" operator="lessThan">
      <formula>0</formula>
    </cfRule>
  </conditionalFormatting>
  <dataValidations count="6">
    <dataValidation type="list" allowBlank="1" showInputMessage="1" showErrorMessage="1" sqref="J5:J34" xr:uid="{21A667BE-7F78-4E55-AADF-25C7FA095C89}">
      <formula1>"Hedging,Strategy,Gut Feeling,Trending"</formula1>
    </dataValidation>
    <dataValidation type="list" allowBlank="1" showInputMessage="1" showErrorMessage="1" sqref="N5:N63 J35:J523 K5:K63" xr:uid="{C60695FE-46C3-4171-82E8-5C0A8593648E}">
      <formula1>"Yes,No"</formula1>
    </dataValidation>
    <dataValidation type="list" allowBlank="1" showInputMessage="1" showErrorMessage="1" sqref="D5:D63" xr:uid="{F8748047-6E27-4C5D-9DCB-D8B9CBB6B0A9}">
      <formula1>"Trading 212,Capital"</formula1>
    </dataValidation>
    <dataValidation type="list" allowBlank="1" showInputMessage="1" showErrorMessage="1" sqref="F5:F63 C5:C523" xr:uid="{E63373C3-00C1-448B-87D9-D6C6EF541310}">
      <formula1>"BUY,SELL"</formula1>
    </dataValidation>
    <dataValidation type="list" allowBlank="1" showInputMessage="1" showErrorMessage="1" sqref="M5:M63" xr:uid="{21AE8715-933C-47DF-A9FC-2EE4397A2351}">
      <formula1>"Manual,Autotrader"</formula1>
    </dataValidation>
    <dataValidation type="list" allowBlank="1" showInputMessage="1" showErrorMessage="1" sqref="G5:G63" xr:uid="{923C59D8-53A9-4DC2-A21F-0806AEC42E86}">
      <formula1>"Capital,Trading 212"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E2B1-7343-417D-A902-6894D702F6C9}">
  <dimension ref="A1:F11"/>
  <sheetViews>
    <sheetView workbookViewId="0">
      <selection activeCell="C15" sqref="C15"/>
    </sheetView>
  </sheetViews>
  <sheetFormatPr defaultRowHeight="15" x14ac:dyDescent="0.25"/>
  <cols>
    <col min="1" max="1" width="21.85546875" customWidth="1"/>
    <col min="2" max="2" width="17.140625" customWidth="1"/>
    <col min="3" max="3" width="41.85546875" customWidth="1"/>
    <col min="4" max="6" width="18.140625" customWidth="1"/>
  </cols>
  <sheetData>
    <row r="1" spans="1:6" ht="23.25" x14ac:dyDescent="0.25">
      <c r="A1" s="31" t="s">
        <v>89</v>
      </c>
      <c r="B1" s="31"/>
      <c r="C1" s="31"/>
      <c r="D1" s="31"/>
      <c r="E1" s="31"/>
      <c r="F1" s="31"/>
    </row>
    <row r="2" spans="1:6" x14ac:dyDescent="0.25">
      <c r="A2" s="32" t="s">
        <v>90</v>
      </c>
      <c r="B2" s="32"/>
      <c r="C2" s="32"/>
      <c r="D2" s="32"/>
      <c r="E2" s="32"/>
      <c r="F2" s="32"/>
    </row>
    <row r="3" spans="1:6" x14ac:dyDescent="0.25">
      <c r="A3" s="5"/>
      <c r="B3" s="5"/>
      <c r="C3" s="5"/>
      <c r="D3" s="5"/>
      <c r="E3" s="5"/>
      <c r="F3" s="5"/>
    </row>
    <row r="4" spans="1:6" ht="24" customHeight="1" x14ac:dyDescent="0.25">
      <c r="A4" s="3" t="s">
        <v>40</v>
      </c>
      <c r="B4" s="3" t="s">
        <v>91</v>
      </c>
      <c r="C4" s="3" t="s">
        <v>92</v>
      </c>
      <c r="D4" s="48" t="s">
        <v>102</v>
      </c>
      <c r="E4" s="48"/>
      <c r="F4" s="48"/>
    </row>
    <row r="5" spans="1:6" ht="27" customHeight="1" x14ac:dyDescent="0.25">
      <c r="A5" s="9" t="s">
        <v>41</v>
      </c>
      <c r="B5" s="10">
        <f>IFERROR(COUNTIF(TradeLog[Outcome (P/L)],"&gt;0")/COUNT(TradeLog[Outcome (P/L)]),0)</f>
        <v>0.52542372881355937</v>
      </c>
      <c r="C5" s="1" t="s">
        <v>96</v>
      </c>
      <c r="D5" s="42" t="str">
        <f>COUNT(TradeLog[Outcome (P/L)])&amp;" closed Capital trades have generated "&amp;TEXT(B11,"£#,##0.00;[Red]-£#,##0.00")&amp;" in total P/L. The win rate is "&amp;TEXT(B5,"0.0%")&amp;", while the average win of "&amp;TEXT(B6,"£#,##0.00")&amp;" is "&amp;TEXT(IFERROR(ABS(B6/B7),0),"0.0x")&amp;" the average loss. Expectancy remains "&amp;TEXT(B8,"£#,##0.00;[Red]-£#,##0.00")&amp;" per trade, with a maximum drawdown of "&amp;TEXT(B10,"£#,##0.00;[Red]-£#,##0.00")&amp;"."</f>
        <v>59 closed Capital trades have generated £153.13 in total P/L. The win rate is 52.5%, while the average win of £10.03 is 1.8x the average loss. Expectancy remains £2.60 per trade, with a maximum drawdown of -£59.95.</v>
      </c>
      <c r="E5" s="43"/>
      <c r="F5" s="44"/>
    </row>
    <row r="6" spans="1:6" ht="27" customHeight="1" x14ac:dyDescent="0.25">
      <c r="A6" s="9" t="s">
        <v>93</v>
      </c>
      <c r="B6" s="11">
        <f>IFERROR(SUMIF(TradeLog[Outcome (P/L)],"&gt;0",TradeLog[Outcome (P/L)])/COUNTIF(TradeLog[Outcome (P/L)],"&gt;0"),0)</f>
        <v>10.025806451612905</v>
      </c>
      <c r="C6" s="1" t="s">
        <v>97</v>
      </c>
      <c r="D6" s="42"/>
      <c r="E6" s="43"/>
      <c r="F6" s="44"/>
    </row>
    <row r="7" spans="1:6" ht="27" customHeight="1" x14ac:dyDescent="0.25">
      <c r="A7" s="9" t="s">
        <v>94</v>
      </c>
      <c r="B7" s="11">
        <f>IFERROR(SUMIF(TradeLog[Outcome (P/L)],"&lt;0",TradeLog[Outcome (P/L)])/COUNTIF(TradeLog[Outcome (P/L)],"&lt;0"),0)</f>
        <v>-5.6310714285714294</v>
      </c>
      <c r="C7" s="1" t="s">
        <v>98</v>
      </c>
      <c r="D7" s="45"/>
      <c r="E7" s="46"/>
      <c r="F7" s="47"/>
    </row>
    <row r="8" spans="1:6" ht="24" customHeight="1" x14ac:dyDescent="0.25">
      <c r="A8" s="9" t="s">
        <v>95</v>
      </c>
      <c r="B8" s="11">
        <f>(B6*B5)+(B7*(1-B5))</f>
        <v>2.59542372881356</v>
      </c>
      <c r="C8" s="1" t="s">
        <v>99</v>
      </c>
      <c r="D8" s="48" t="s">
        <v>103</v>
      </c>
      <c r="E8" s="48"/>
      <c r="F8" s="48"/>
    </row>
    <row r="9" spans="1:6" ht="30" customHeight="1" x14ac:dyDescent="0.25">
      <c r="A9" s="9" t="s">
        <v>42</v>
      </c>
      <c r="B9" s="10">
        <f>IFERROR(COUNTIF(TradeLog[Checklist Passed?],"Yes")/COUNTIF(TradeLog[Checklist Passed?],"&lt;&gt;"),0)</f>
        <v>0.97222222222222221</v>
      </c>
      <c r="C9" s="1" t="s">
        <v>100</v>
      </c>
      <c r="D9" s="42" t="str">
        <f>"1. "&amp;IF(B8&gt;0,"Positive expectancy indicates the current trade set has a profitable edge.","Negative expectancy indicates the current approach needs review.")&amp;CHAR(10)&amp;"2. "&amp;IF(B6&gt;ABS(B7),"Average winners exceed average losers, supporting the current payoff profile.","Average losses are at least as large as winners; prioritise loss control and trade selection.")&amp;CHAR(10)&amp;"3. "&amp;IF(B9=0,"Checklist compliance is not yet measured—complete the Yes/No field to assess discipline.","Checklist compliance is "&amp;TEXT(B9,"0.0%")&amp;"; compare compliant and non-compliant results before changing the process.")</f>
        <v>1. Positive expectancy indicates the current trade set has a profitable edge.
2. Average winners exceed average losers, supporting the current payoff profile.
3. Checklist compliance is 97.2%; compare compliant and non-compliant results before changing the process.</v>
      </c>
      <c r="E9" s="43"/>
      <c r="F9" s="44"/>
    </row>
    <row r="10" spans="1:6" ht="30" customHeight="1" x14ac:dyDescent="0.25">
      <c r="A10" s="9" t="s">
        <v>43</v>
      </c>
      <c r="B10" s="11">
        <f>MIN(0,TradeLog[Drawdown])</f>
        <v>-59.950000000000017</v>
      </c>
      <c r="C10" s="1" t="s">
        <v>101</v>
      </c>
      <c r="D10" s="42"/>
      <c r="E10" s="43"/>
      <c r="F10" s="44"/>
    </row>
    <row r="11" spans="1:6" ht="30" customHeight="1" x14ac:dyDescent="0.25">
      <c r="A11" s="9" t="s">
        <v>184</v>
      </c>
      <c r="B11" s="11">
        <f>SUM(TradeLog[Outcome (P/L)])</f>
        <v>153.12999999999991</v>
      </c>
      <c r="C11" s="1" t="s">
        <v>185</v>
      </c>
      <c r="D11" s="45"/>
      <c r="E11" s="46"/>
      <c r="F11" s="47"/>
    </row>
  </sheetData>
  <mergeCells count="6">
    <mergeCell ref="D9:F11"/>
    <mergeCell ref="A1:F1"/>
    <mergeCell ref="A2:F2"/>
    <mergeCell ref="D4:F4"/>
    <mergeCell ref="D8:F8"/>
    <mergeCell ref="D5:F7"/>
  </mergeCells>
  <conditionalFormatting sqref="B1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Trading Conditions</vt:lpstr>
      <vt:lpstr>Trade Log</vt:lpstr>
      <vt:lpstr>Analysis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 Grula</dc:creator>
  <cp:lastModifiedBy>Aleks Grula</cp:lastModifiedBy>
  <dcterms:created xsi:type="dcterms:W3CDTF">2015-06-05T18:17:20Z</dcterms:created>
  <dcterms:modified xsi:type="dcterms:W3CDTF">2026-08-17T18:56:11Z</dcterms:modified>
</cp:coreProperties>
</file>